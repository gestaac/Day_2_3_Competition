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S Marking Scheme Import" sheetId="1" r:id="rId4"/>
    <sheet state="visible" name="Calculations" sheetId="2" r:id="rId5"/>
  </sheets>
  <definedNames/>
  <calcPr/>
  <extLst>
    <ext uri="GoogleSheetsCustomDataVersion2">
      <go:sheetsCustomData xmlns:go="http://customooxmlschemas.google.com/" r:id="rId6" roundtripDataChecksum="rPLj5UtRtNxYqB+BHXgOBn18KAf9SsHkpNwBqGKzRBo="/>
    </ext>
  </extLst>
</workbook>
</file>

<file path=xl/sharedStrings.xml><?xml version="1.0" encoding="utf-8"?>
<sst xmlns="http://schemas.openxmlformats.org/spreadsheetml/2006/main" count="1945" uniqueCount="373">
  <si>
    <t>54 Cyber Security</t>
  </si>
  <si>
    <t>WorldSkills Occupational Standards</t>
  </si>
  <si>
    <t>Section</t>
  </si>
  <si>
    <t>WSOS Marks</t>
  </si>
  <si>
    <t>Aspect Marks</t>
  </si>
  <si>
    <t>Variation</t>
  </si>
  <si>
    <t>1 - Work Organization and Management</t>
  </si>
  <si>
    <t>2 - Communication and Interpersonal Skills</t>
  </si>
  <si>
    <t>3 - Secure System Design and Creation</t>
  </si>
  <si>
    <t>4 - Secure System Operation and Maintenance</t>
  </si>
  <si>
    <t>5 - Secure Systems Protections and Defense</t>
  </si>
  <si>
    <t>6 - Operations and Management</t>
  </si>
  <si>
    <t>7 - Intelligence Collection and Analysis</t>
  </si>
  <si>
    <t>8 - Investigation and Digital Forensics</t>
  </si>
  <si>
    <t>Total Variation</t>
  </si>
  <si>
    <t>Criteria</t>
  </si>
  <si>
    <t>ID</t>
  </si>
  <si>
    <t>Name</t>
  </si>
  <si>
    <t>Mark</t>
  </si>
  <si>
    <t>A</t>
  </si>
  <si>
    <t>Enterprise Infrastructure Security</t>
  </si>
  <si>
    <t>B</t>
  </si>
  <si>
    <t>Cyber Security Incident Response, Digital Forensics, Application Security</t>
  </si>
  <si>
    <t>C</t>
  </si>
  <si>
    <t>Red CTF</t>
  </si>
  <si>
    <t>D</t>
  </si>
  <si>
    <t>Blue CTF</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</si>
  <si>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</si>
  <si>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</si>
  <si>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</si>
  <si>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</si>
  <si>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</si>
  <si>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</si>
  <si>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</si>
  <si>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</si>
  <si>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</si>
  <si>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</si>
  <si>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</si>
  <si>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</si>
  <si>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</si>
  <si>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</si>
  <si>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</si>
  <si>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</si>
  <si>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</si>
  <si>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</si>
  <si>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</si>
  <si>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Morning of Day 1 - security assessments</t>
  </si>
  <si>
    <t>1</t>
  </si>
  <si>
    <t/>
  </si>
  <si>
    <t>M</t>
  </si>
  <si>
    <t>vulnerability identification</t>
  </si>
  <si>
    <t>From executive summary list, or others not mentioned</t>
  </si>
  <si>
    <t>Identified 2 listed vulnerabilities or found another - must be apache related</t>
  </si>
  <si>
    <t>J</t>
  </si>
  <si>
    <t>executive summary of vulnerabilities
 and gave good non technical summary
Notes - 1) certificate valid, but ldap query will send username/passwords clear text - uses ldap not ldaps
2)SSLProtocol is not defined in ssl.conf - should be limited to TLSv1.2
3)file and folder permissions are out of box and could be further restricted
4)selinux not enabled - not part of apache, but logical to include
5)standard user/group used for apache operation, could set specific user group for this service
6)could be other specific things - will need to judge</t>
  </si>
  <si>
    <t>not done, totally wrong</t>
  </si>
  <si>
    <t>some good but incomplete or some error</t>
  </si>
  <si>
    <t>correct to minimal industry standard</t>
  </si>
  <si>
    <t>exceptional - got two worst vulnerabilities</t>
  </si>
  <si>
    <t>1st vulnerability
0-3 as above - looking for accuracy in form - risk, severity, identification and remediation suggestions</t>
  </si>
  <si>
    <t>2nd vulnerability
0-3 as above - looking for accuracy in form - risk, severity, identification and remediation suggestions</t>
  </si>
  <si>
    <t>A2</t>
  </si>
  <si>
    <t>Firewall</t>
  </si>
  <si>
    <t>set admin password on Firewall</t>
  </si>
  <si>
    <t>connect to firewall from client 1 browser - login as admin/P@ssw0rd</t>
  </si>
  <si>
    <t>Password to be changed from default</t>
  </si>
  <si>
    <t>DHCP handled by firewall</t>
  </si>
  <si>
    <t>check configs on PFSense - service DHCP - should be operational</t>
  </si>
  <si>
    <t>DHCP: 172.16.100.254
Manila.com
Gateway: 172.16.100.254
DNS: 192.168.2.10</t>
  </si>
  <si>
    <t>Being a stateful Firewall, we only need outbound rules set. Best practice would be to specify IP or subnet where appropriate, will be a judgement mark at end after looking at rules for each interface to see if best practice followed, should not use "*" indiscriminately and should not have uneeded rules that might open something up - mark as correct if traffic allowed for now but take note, and then mark down on judgement mark if too much traffic is allowed - default allow any rules left? a kill all rule in place? etc.</t>
  </si>
  <si>
    <t>LAN interface</t>
  </si>
  <si>
    <t>DMZ rules:</t>
  </si>
  <si>
    <t>SSH -&gt; DMZ</t>
  </si>
  <si>
    <t>Allow traffic to WAN</t>
  </si>
  <si>
    <t>Servers Interface</t>
  </si>
  <si>
    <t>http &gt; DMZ</t>
  </si>
  <si>
    <t>Should not be rules here, as no traffice should be initiated from DMZ</t>
  </si>
  <si>
    <t>DMZ Interface</t>
  </si>
  <si>
    <t>Firewall &gt; Rules &gt; DMZ
similar to AD connection from WAN - need to authenticate with AD,for AD access since machine must join Domain</t>
  </si>
  <si>
    <t>53, 88, 135, 137-138, 389, 443, 445, 464, 636, 3268-3269</t>
  </si>
  <si>
    <t>WAN Interface / NAT</t>
  </si>
  <si>
    <t>Firewall &gt; NAT &gt; portforward</t>
  </si>
  <si>
    <t>WAN &gt; 192.168.1.10 DNS, http, https</t>
  </si>
  <si>
    <t>OpenVPN Installed</t>
  </si>
  <si>
    <t>check configs on PFSense - service &gt; OPenVPN</t>
  </si>
  <si>
    <t>Is configured? (functional test will be done later)</t>
  </si>
  <si>
    <t>PKI cert for OpenVPN</t>
  </si>
  <si>
    <t>domain cert for OPNVPN</t>
  </si>
  <si>
    <t>verify in configs that certificate is not self signed</t>
  </si>
  <si>
    <t>SNORT installed</t>
  </si>
  <si>
    <t>snort installed and started Service &gt; snort</t>
  </si>
  <si>
    <t>SNORT tracking events</t>
  </si>
  <si>
    <t>rule implemented</t>
  </si>
  <si>
    <t>check if christmas tree rule being logged</t>
  </si>
  <si>
    <t>FW - best practice
General mark on firewall rule implementations</t>
  </si>
  <si>
    <t>insecure or not done completely - taking into account all interfaces</t>
  </si>
  <si>
    <t>are set, but too lenient in some cases</t>
  </si>
  <si>
    <t>Industry standard</t>
  </si>
  <si>
    <t>Very strict and secure - well named rules, logically laid out in correct order - all interfaces, no unncessary rules, aliases?</t>
  </si>
  <si>
    <t>A3</t>
  </si>
  <si>
    <t>LINSRV1</t>
  </si>
  <si>
    <t>Domain join LinSRV1</t>
  </si>
  <si>
    <t>log into WInSRV1 open ADUC, and DNS - LINSRV1</t>
  </si>
  <si>
    <t xml:space="preserve">should have LINSRV1 computer account in AD and Host record in DNS </t>
  </si>
  <si>
    <t>should be joined to manila.com</t>
  </si>
  <si>
    <t>log into LINSRV1 as root/P@ssw0rd
#realm list</t>
  </si>
  <si>
    <t>should show joined to Domain</t>
  </si>
  <si>
    <t>ssh configs</t>
  </si>
  <si>
    <t>#cat /etc/ssh/sshd_config | grep -E "PeritRoo|Port|Allow"</t>
  </si>
  <si>
    <t>Port 2022
PermitRootLogin no
AllowUsers C1 C2</t>
  </si>
  <si>
    <t>*Thought* - the following commands if run from putty on a Clients direct from spreadsheet could be cut and pasted once it's been determined you can ssh in - it's short commands though…. So wouldn't take long - could be scripted also</t>
  </si>
  <si>
    <t>firewall config1</t>
  </si>
  <si>
    <t>#systemctl status firewalld</t>
  </si>
  <si>
    <t>should be started: Active: active (running)</t>
  </si>
  <si>
    <t>firewall config2</t>
  </si>
  <si>
    <t>#firewall-cmd --list-all --permanent</t>
  </si>
  <si>
    <t xml:space="preserve">services should included 2022, http, https, kerberos,
but NOT unneeded services </t>
  </si>
  <si>
    <t>Linux password complexity</t>
  </si>
  <si>
    <t>#useradd bob
#passwd bob
#"password" - will not allow new password - does not meet complexity/length
#passwd bob
#P@ssw0rd12
#chage -l bob
bob created - password must meet complexity requirements
# chage -l bob
Last password change					: Jul 30, 2024
Password expires					: Sep 03, 2024
Password inactive					: never
Account expires						: never
Minimum number of days between password change		: 25
Maximum number of days between password change		: 35
Number of days of warning before password expires	: 25</t>
  </si>
  <si>
    <t>sudo test (will functional test C1 later)</t>
  </si>
  <si>
    <t>#su -l bob
$sudo useradd fred
$exit
#</t>
  </si>
  <si>
    <t>attempts to useradd as bob should fail</t>
  </si>
  <si>
    <t>firewall on?</t>
  </si>
  <si>
    <t xml:space="preserve">services should included 2022, http, https, kerberos, </t>
  </si>
  <si>
    <t>selinux status</t>
  </si>
  <si>
    <t>#sestatus</t>
  </si>
  <si>
    <t>enforcing</t>
  </si>
  <si>
    <t>selinux implemented for website</t>
  </si>
  <si>
    <t>#cd /var/www
#ls -lZ lum</t>
  </si>
  <si>
    <t>will show selinux context (httpd_sys_content_t) - (to be verified!)</t>
  </si>
  <si>
    <t>website using PKI cert</t>
  </si>
  <si>
    <r>
      <rPr>
        <rFont val="Arial"/>
        <sz val="10.0"/>
      </rPr>
      <t xml:space="preserve">open firefox connect to </t>
    </r>
    <r>
      <rPr>
        <rFont val="Arial"/>
        <color rgb="FF1155CC"/>
        <sz val="10.0"/>
        <u/>
      </rPr>
      <t>https://www.manila.com</t>
    </r>
  </si>
  <si>
    <t>no certificate warning - examine cert - root chain should be from PKI</t>
  </si>
  <si>
    <t>A4</t>
  </si>
  <si>
    <t>WinSRV1 (AD)</t>
  </si>
  <si>
    <t>GPO for certificates</t>
  </si>
  <si>
    <t>Open GPM in Server Manager - browse to domain,</t>
  </si>
  <si>
    <t>verify that a certenroll policy exists at the domain level and is set to autoenroll</t>
  </si>
  <si>
    <t>google GPO</t>
  </si>
  <si>
    <t>In GPM in Server Manager - browse to domain, verify that a google policy exists at the domain level and is set to control the homepage</t>
  </si>
  <si>
    <t>setting at: computer configuration &gt; administrative templates &gt; google &gt; startup, home page and new tab page &gt; configure the home page URL &gt; www.manila.com</t>
  </si>
  <si>
    <t>share created?</t>
  </si>
  <si>
    <t>Server manager &gt; file and storage services &gt; shares</t>
  </si>
  <si>
    <t>"pictures" share should exist at c:\shares\pictures</t>
  </si>
  <si>
    <t>share permissions work</t>
  </si>
  <si>
    <t>check &gt; properties &gt; permissions in console</t>
  </si>
  <si>
    <t>verify resultant permission for share:
 CS=R
Graphics=Mod
IT=FC</t>
  </si>
  <si>
    <t>GPO recommendations
Make sure we can get the files…
remember, they've been asked to restrict control panel and registry access,login banner and password policies already. Looking for 3 others. Other Internet suggestions include (will be others, but here's a list): 
audit logs, 
screen lockout
account lockout
removable media
no cmd/PS
Limit software installs
Prevent LAN manager Hash storage
limit access of blank password to console
no forced restarts
Monitor GPO changes
Disable SID translation
Remove anon users from everyone
NLTM auditing
Disable LLMNR
Control Local Admins groups
Mange firewalls
enable UAC
applocker</t>
  </si>
  <si>
    <t>not completed, inappropriate settings</t>
  </si>
  <si>
    <t>good recommendations, 1 so-so</t>
  </si>
  <si>
    <t>All logical good choices</t>
  </si>
  <si>
    <t>All logical good choices with clear rationale</t>
  </si>
  <si>
    <t>best practices followed for share
or some combo thereof - watch for NTFS inheritence, perms set on NTFS rather than share… etc.</t>
  </si>
  <si>
    <t>perms wrong</t>
  </si>
  <si>
    <t>some set successfully</t>
  </si>
  <si>
    <t>All perms set, no local inheritance, no explicit denial, creator/owner</t>
  </si>
  <si>
    <t>AGLP and all of above</t>
  </si>
  <si>
    <t>A5</t>
  </si>
  <si>
    <t>WINSRV3</t>
  </si>
  <si>
    <t>CA Check</t>
  </si>
  <si>
    <t>Server manager &gt; tools&gt; Open CA - check for certificates issued -</t>
  </si>
  <si>
    <t>will show certs issued for users/computers</t>
  </si>
  <si>
    <t>A6</t>
  </si>
  <si>
    <t>Client1</t>
  </si>
  <si>
    <t>can reach Internet Website</t>
  </si>
  <si>
    <r>
      <rPr>
        <rFont val="Arial"/>
        <color theme="1"/>
        <sz val="10.0"/>
      </rPr>
      <t xml:space="preserve">log in as Anorbert/P@ssw0rd, open browser, go to </t>
    </r>
    <r>
      <rPr>
        <rFont val="Arial"/>
        <color rgb="FF000000"/>
        <sz val="10.0"/>
      </rPr>
      <t>www.nationalmuseum.gov.ph</t>
    </r>
  </si>
  <si>
    <t>can reach "Internet"</t>
  </si>
  <si>
    <t>can not reach restricted website</t>
  </si>
  <si>
    <r>
      <rPr>
        <rFont val="Arial"/>
        <color theme="1"/>
        <sz val="10.0"/>
      </rPr>
      <t xml:space="preserve">go to </t>
    </r>
    <r>
      <rPr>
        <rFont val="Arial"/>
        <color rgb="FF000000"/>
        <sz val="10.0"/>
      </rPr>
      <t>www.starcity.com.ph</t>
    </r>
  </si>
  <si>
    <t>should be blocked by firewall</t>
  </si>
  <si>
    <t>DHCP from PFSense functional test</t>
  </si>
  <si>
    <t>ipconfig /release 
ipcofig /renew
ipconfig /all</t>
  </si>
  <si>
    <t>get IP from PFSense as DHCP server - with DNS, gateway and domain name options</t>
  </si>
  <si>
    <t>ssh to LinSRV1 can connect to ssh as C1 port 2022</t>
  </si>
  <si>
    <t>putty: ssh to Winclient1 port 2022 - C1@MANILA.COM@192.168.1.10:2022</t>
  </si>
  <si>
    <t>connect</t>
  </si>
  <si>
    <t>additional test to sudo</t>
  </si>
  <si>
    <t>#sudo useradd fred</t>
  </si>
  <si>
    <t>successfully add user with sudo as C1 or C2 user (domain or local), manually check on server if can't ssh</t>
  </si>
  <si>
    <t>https traffic over firewall</t>
  </si>
  <si>
    <r>
      <rPr>
        <rFont val="Arial"/>
        <sz val="10.0"/>
      </rPr>
      <t xml:space="preserve">open firefox: open </t>
    </r>
    <r>
      <rPr>
        <rFont val="Arial"/>
        <color rgb="FF1155CC"/>
        <sz val="10.0"/>
        <u/>
      </rPr>
      <t>https://www.manila.com</t>
    </r>
  </si>
  <si>
    <t>site should be accessible with or without warning</t>
  </si>
  <si>
    <t>PKI check</t>
  </si>
  <si>
    <t>look at certificate</t>
  </si>
  <si>
    <t>access to site without warning - examine cert - chould be from WinSRV3</t>
  </si>
  <si>
    <t>checking GPO policy for certs</t>
  </si>
  <si>
    <r>
      <rPr>
        <rFont val="Arial"/>
        <sz val="10.0"/>
      </rPr>
      <t xml:space="preserve">login as:Anorbert open browser go to </t>
    </r>
    <r>
      <rPr>
        <rFont val="Arial"/>
        <color rgb="FF1155CC"/>
        <sz val="10.0"/>
        <u/>
      </rPr>
      <t>https://www.manila.com</t>
    </r>
    <r>
      <rPr>
        <rFont val="Arial"/>
        <sz val="10.0"/>
      </rPr>
      <t xml:space="preserve"> website
check cert store</t>
    </r>
  </si>
  <si>
    <t xml:space="preserve">no issue with cert 
</t>
  </si>
  <si>
    <t>access remote webstie</t>
  </si>
  <si>
    <t>verify snort access - login to Firewall as admin/P@ssw0rd</t>
  </si>
  <si>
    <t>login with new password, web traffic should be should be logged</t>
  </si>
  <si>
    <t>SNORT restriction</t>
  </si>
  <si>
    <t>check SNORT rule</t>
  </si>
  <si>
    <t>should be there</t>
  </si>
  <si>
    <t>GPO recommendations</t>
  </si>
  <si>
    <t>some good but incomplete or error</t>
  </si>
  <si>
    <t>correct but explanations weak, or maybe good but not best choices</t>
  </si>
  <si>
    <t>exceptional, excellent GPO choices, good explanation</t>
  </si>
  <si>
    <t>A7</t>
  </si>
  <si>
    <t>Client2 (Internal)</t>
  </si>
  <si>
    <t>Linux domain joined and ssh traffic functional test - also that ssh allowed over firewall</t>
  </si>
  <si>
    <t>ssh using putty as mratt@manila.com@Linsrv1 (or @IP)</t>
  </si>
  <si>
    <t>Can log in as domain user</t>
  </si>
  <si>
    <t>check certificate enrollment</t>
  </si>
  <si>
    <t>open chrome go to https:webtest.manila.com</t>
  </si>
  <si>
    <t>no certificate warning should show - when checking the chain of the certificate, whole chain should be present, including WInsrv4</t>
  </si>
  <si>
    <t>cert and DNS verification</t>
  </si>
  <si>
    <r>
      <rPr>
        <rFont val="Arial"/>
        <sz val="10.0"/>
      </rPr>
      <t xml:space="preserve">open cli 
ping </t>
    </r>
    <r>
      <rPr>
        <rFont val="Arial"/>
        <color rgb="FF1155CC"/>
        <sz val="10.0"/>
        <u/>
      </rPr>
      <t>www.manila.com</t>
    </r>
  </si>
  <si>
    <t>should resolve to LINSRV1 in DMZ (whether or not it can ping) (192.168.100.10)</t>
  </si>
  <si>
    <t>certandroll</t>
  </si>
  <si>
    <t>gpresult /v | findstr "certen"</t>
  </si>
  <si>
    <t>certenroll policy should be applied</t>
  </si>
  <si>
    <t>default home page - functional check</t>
  </si>
  <si>
    <t>open chrome browser</t>
  </si>
  <si>
    <r>
      <rPr>
        <rFont val="Arial"/>
        <sz val="10.0"/>
      </rPr>
      <t xml:space="preserve">confirm that the browser uses </t>
    </r>
    <r>
      <rPr>
        <rFont val="Arial"/>
        <color rgb="FF1155CC"/>
        <sz val="10.0"/>
        <u/>
      </rPr>
      <t>www.manila.com</t>
    </r>
    <r>
      <rPr>
        <rFont val="Arial"/>
        <sz val="10.0"/>
      </rPr>
      <t xml:space="preserve"> as the home page - it does not matter if the browser can reach the page successfully, but that it tries to use this page, attempt to change home page should fail on reopening browser</t>
    </r>
  </si>
  <si>
    <t>check GPO</t>
  </si>
  <si>
    <t>&gt;gpresult /v</t>
  </si>
  <si>
    <t>policies for chrome, exists called "google"</t>
  </si>
  <si>
    <t>banner applied</t>
  </si>
  <si>
    <t>during login banner: WorldSkills Lyon/authorized access only</t>
  </si>
  <si>
    <t>banner should be there prior to login</t>
  </si>
  <si>
    <t>verify share access</t>
  </si>
  <si>
    <t>Log in as graphics user win + r &gt; \\winsrv1\pictures\manila.jpg - try to access file</t>
  </si>
  <si>
    <t>can read "france.jpg" -here we are checking if share is up and accessible</t>
  </si>
  <si>
    <t>Auditing</t>
  </si>
  <si>
    <t>Log in as administrator on WInSRV1 - check security log</t>
  </si>
  <si>
    <t>above access should be logged</t>
  </si>
  <si>
    <t>A8</t>
  </si>
  <si>
    <t>Client3 (External)</t>
  </si>
  <si>
    <t>VPN access</t>
  </si>
  <si>
    <t>log on as VPNUSer</t>
  </si>
  <si>
    <t>successful connection</t>
  </si>
  <si>
    <t>DNS access</t>
  </si>
  <si>
    <r>
      <rPr>
        <rFont val="Arial"/>
        <sz val="10.0"/>
      </rPr>
      <t xml:space="preserve">ping </t>
    </r>
    <r>
      <rPr>
        <rFont val="Arial"/>
        <color rgb="FF1155CC"/>
        <sz val="10.0"/>
        <u/>
      </rPr>
      <t>www.manila.com</t>
    </r>
  </si>
  <si>
    <t>should resolve to external interface IP of firewall</t>
  </si>
  <si>
    <t>access DMZ website</t>
  </si>
  <si>
    <t>Open browser, connect to…</t>
  </si>
  <si>
    <t>christmas scan</t>
  </si>
  <si>
    <t>login to client3 as administrator, use installed nmap to initiate Xmas tree scan to WAN interface of Firewall
Log into Client2, open browser and access 172.16.1.254 admin/P@ssword 
In SNORT console check alerts</t>
  </si>
  <si>
    <t>Alert should be triggered "possible XMAS Scan" sid 100001</t>
  </si>
  <si>
    <t>Criterion B</t>
  </si>
  <si>
    <t>B1</t>
  </si>
  <si>
    <t>HO Flags</t>
  </si>
  <si>
    <t>2</t>
  </si>
  <si>
    <t>Flag HO-01</t>
  </si>
  <si>
    <t>Competitors successfully get flag in CTF</t>
  </si>
  <si>
    <t>Got flag or not Y/N</t>
  </si>
  <si>
    <t>Flag HO-01H1</t>
  </si>
  <si>
    <t>Competitors successfully get flag without H1</t>
  </si>
  <si>
    <t>Add if hint NOT used</t>
  </si>
  <si>
    <t>Flag HO-01H2</t>
  </si>
  <si>
    <t>Competitors successfully get flag without H2</t>
  </si>
  <si>
    <t>Flag HO-02</t>
  </si>
  <si>
    <t>Flag HO-02H1</t>
  </si>
  <si>
    <t>Flag HO-02H2</t>
  </si>
  <si>
    <t>Flag HO-03</t>
  </si>
  <si>
    <t>Flag HO-03H1</t>
  </si>
  <si>
    <t>Flag HO-03H2</t>
  </si>
  <si>
    <t>Flag HO-04</t>
  </si>
  <si>
    <t>Flag HO-04H1</t>
  </si>
  <si>
    <t>Flag HO-04H2</t>
  </si>
  <si>
    <t>Flag HO-05a</t>
  </si>
  <si>
    <t>Competitors successfully get flag in CTF - Mark split between 2 aspects both- are complete if flag found</t>
  </si>
  <si>
    <t>Flag HO--5b</t>
  </si>
  <si>
    <t>Flag HO-06a</t>
  </si>
  <si>
    <t>Flag HO-06b</t>
  </si>
  <si>
    <t>Flag HO-07a</t>
  </si>
  <si>
    <t>Flag HO-07b</t>
  </si>
  <si>
    <t>B2</t>
  </si>
  <si>
    <t>Casual Malware Flags</t>
  </si>
  <si>
    <t>Flag CM-01</t>
  </si>
  <si>
    <t>Flag CM-01H1</t>
  </si>
  <si>
    <t>Flag CM-01H2</t>
  </si>
  <si>
    <t>Flag CM-02</t>
  </si>
  <si>
    <t>Flag CM-02H1</t>
  </si>
  <si>
    <t>Flag CM-02H2</t>
  </si>
  <si>
    <t>Flag CM-03</t>
  </si>
  <si>
    <t>Flag CM-03H1</t>
  </si>
  <si>
    <t>Flag CM-03H2</t>
  </si>
  <si>
    <t>Flag CM-04</t>
  </si>
  <si>
    <t>Flag CM-04H1</t>
  </si>
  <si>
    <t>Flag CM-04H2</t>
  </si>
  <si>
    <t>Flag CM-05</t>
  </si>
  <si>
    <t>Flag CM-05H1</t>
  </si>
  <si>
    <t>Flag CM-06</t>
  </si>
  <si>
    <t>Flag CM-06H1</t>
  </si>
  <si>
    <t>Flag CM-07</t>
  </si>
  <si>
    <t>Flag CM-08</t>
  </si>
  <si>
    <t>Criterion C</t>
  </si>
  <si>
    <t>C1</t>
  </si>
  <si>
    <t>ODD Flags</t>
  </si>
  <si>
    <t>3</t>
  </si>
  <si>
    <t>ODD Flag01 - Note - 3600 CTF score/25% - multiply mark by 144 to get flag value - 15 Flags total= flag score/100/1.44 or flag*.0069444</t>
  </si>
  <si>
    <t>ODD Flag01H1</t>
  </si>
  <si>
    <t>ODDFlage01H2</t>
  </si>
  <si>
    <t>ODD Flag 02</t>
  </si>
  <si>
    <t>ODD Flag 02H1</t>
  </si>
  <si>
    <t>ODD Flag 02H2</t>
  </si>
  <si>
    <t>ODD Flag 03</t>
  </si>
  <si>
    <t>ODD Flag 03H1</t>
  </si>
  <si>
    <t>ODD Flag 03H2</t>
  </si>
  <si>
    <t>ODD Flag 04</t>
  </si>
  <si>
    <t>ODD Flag 04H1</t>
  </si>
  <si>
    <t>ODD Flag 04H2</t>
  </si>
  <si>
    <t>ODD Flag 05</t>
  </si>
  <si>
    <t>ODD Flag 05H1</t>
  </si>
  <si>
    <t>ODD Flag 05H2</t>
  </si>
  <si>
    <t>ODD Flag 06</t>
  </si>
  <si>
    <t>ODD Flag 06H1</t>
  </si>
  <si>
    <t>ODD Flag 06H2</t>
  </si>
  <si>
    <t>ODD Flag 07</t>
  </si>
  <si>
    <t>ODD Flag 07H1</t>
  </si>
  <si>
    <t>ODD Flag 08</t>
  </si>
  <si>
    <t>ODD Flag 08H1</t>
  </si>
  <si>
    <t>ODD Flag 09a</t>
  </si>
  <si>
    <t>Got flag or not Y/N - Mark split between 2 aspects both- are complete if flag found</t>
  </si>
  <si>
    <t>ODD Flag 09b</t>
  </si>
  <si>
    <t>ODD Flag 09bH</t>
  </si>
  <si>
    <t>ODD Flag 10</t>
  </si>
  <si>
    <t>ODD Flag 11</t>
  </si>
  <si>
    <t>ODD Flag 12a</t>
  </si>
  <si>
    <t>ODD Flag 12b</t>
  </si>
  <si>
    <t>C2</t>
  </si>
  <si>
    <t>From Cache Cache portion of CTF</t>
  </si>
  <si>
    <t>CC Flag 01</t>
  </si>
  <si>
    <t>CC Flag 02a - Mark split between 2 aspects both- are complete if flag found</t>
  </si>
  <si>
    <t>CC Flag 02b - Mark split between 2 aspects both- are complete if flag found</t>
  </si>
  <si>
    <t>CC Flag 03a - Mark split between 2 aspects both- are complete if flag found</t>
  </si>
  <si>
    <t>CC Flag 03b - Mark split between 2 aspects both- are complete if flag found</t>
  </si>
  <si>
    <t>Criterion D</t>
  </si>
  <si>
    <t>D1</t>
  </si>
  <si>
    <t>Blueday Flags</t>
  </si>
  <si>
    <t>4</t>
  </si>
  <si>
    <t>CS Flag 01</t>
  </si>
  <si>
    <t>CS Flag 01H1</t>
  </si>
  <si>
    <t>CS Flag 01H2</t>
  </si>
  <si>
    <t>CS Flag 02</t>
  </si>
  <si>
    <t>CS Flag 02H1</t>
  </si>
  <si>
    <t>CS Flag 02H2</t>
  </si>
  <si>
    <t>CS Flag 03</t>
  </si>
  <si>
    <t>CS Flag 03H1</t>
  </si>
  <si>
    <t>CS Flag 03H2</t>
  </si>
  <si>
    <t>CS Flag 04</t>
  </si>
  <si>
    <t>CS Flag 04H1</t>
  </si>
  <si>
    <t>CS Flag 04H2</t>
  </si>
  <si>
    <t>CS Flag 05</t>
  </si>
  <si>
    <t>CS Flag 05H1</t>
  </si>
  <si>
    <t>CS Flag 05H2</t>
  </si>
  <si>
    <t>CS Flag 06</t>
  </si>
  <si>
    <t>CS Flag 06H1</t>
  </si>
  <si>
    <t>CS Flag 07a - Mark split between 2 aspects both- are complete if flag found</t>
  </si>
  <si>
    <t>CS Flag 07b - Mark split between 2 aspects both- are complete if flag found</t>
  </si>
  <si>
    <t>CS Flag 07H1</t>
  </si>
  <si>
    <t>CS Flag 08</t>
  </si>
  <si>
    <t>CS Flag 08H1</t>
  </si>
  <si>
    <t>CS Flag 09</t>
  </si>
  <si>
    <t>CS Flag 09H1</t>
  </si>
  <si>
    <t>CS Flag 10</t>
  </si>
  <si>
    <t>CS Flag 11</t>
  </si>
  <si>
    <t>CS Flag 12</t>
  </si>
  <si>
    <t>CS Flag 13a - Mark split between 2 aspects both- are complete if flag found</t>
  </si>
  <si>
    <t>CS Flag 13b - Mark split between 2 aspects both- are complete if flag found</t>
  </si>
  <si>
    <t>CS Flag 14a - Mark split between 2 aspects both- are complete if flag found</t>
  </si>
  <si>
    <t>CS Flag 14b - Mark split between 2 aspects both- are complete if flag found</t>
  </si>
  <si>
    <t>CS Flag 15</t>
  </si>
  <si>
    <t>Criterion E</t>
  </si>
  <si>
    <t>Criterion F</t>
  </si>
  <si>
    <t>Criterion G</t>
  </si>
  <si>
    <t>Criterion H</t>
  </si>
  <si>
    <t>Criterion I</t>
  </si>
  <si>
    <t>Competition</t>
  </si>
  <si>
    <t>Pass/Fail</t>
  </si>
  <si>
    <t>PASS_FAIL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</si>
</sst>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theme="1"/>
      <name val="Arial"/>
      <scheme val="minor"/>
    </font>
    <font>
      <sz val="18.0"/>
      <color rgb="FFFFFFFF"/>
      <name val="Arial"/>
    </font>
    <font/>
    <font>
      <sz val="10.0"/>
      <color theme="1"/>
      <name val="Arial"/>
    </font>
    <font>
      <sz val="16.0"/>
      <color rgb="FFFFFFFF"/>
      <name val="Arial"/>
    </font>
    <font>
      <sz val="10.0"/>
      <color rgb="FFFFFFFF"/>
      <name val="Arial"/>
    </font>
    <font>
      <sz val="16.0"/>
      <color theme="1"/>
      <name val="Arial"/>
    </font>
    <font>
      <sz val="16.0"/>
      <color rgb="FF000000"/>
      <name val="Arial"/>
    </font>
    <font>
      <color theme="1"/>
      <name val="Arial"/>
      <scheme val="minor"/>
    </font>
    <font>
      <sz val="10.0"/>
      <color rgb="FF0000FF"/>
      <name val="Arial"/>
    </font>
    <font>
      <u/>
      <sz val="10.0"/>
      <color rgb="FF0000FF"/>
      <name val="Arial"/>
    </font>
    <font>
      <u/>
      <sz val="10.0"/>
      <color rgb="FF0000FF"/>
      <name val="Arial"/>
    </font>
  </fonts>
  <fills count="6">
    <fill>
      <patternFill patternType="none"/>
    </fill>
    <fill>
      <patternFill patternType="lightGray"/>
    </fill>
    <fill>
      <patternFill patternType="solid">
        <fgColor rgb="FF969696"/>
        <bgColor rgb="FF969696"/>
      </patternFill>
    </fill>
    <fill>
      <patternFill patternType="solid">
        <fgColor rgb="FFFFFF00"/>
        <bgColor rgb="FFFFFF00"/>
      </patternFill>
    </fill>
    <fill>
      <patternFill patternType="solid">
        <fgColor rgb="FFC27BA0"/>
        <bgColor rgb="FFC27BA0"/>
      </patternFill>
    </fill>
    <fill>
      <patternFill patternType="solid">
        <fgColor rgb="FF93C47D"/>
        <bgColor rgb="FF93C47D"/>
      </patternFill>
    </fill>
  </fills>
  <borders count="1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border>
    <border>
      <left/>
      <right style="medium">
        <color rgb="FF000000"/>
      </right>
      <top/>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center" vertical="center"/>
    </xf>
    <xf borderId="0" fillId="0" fontId="3" numFmtId="0" xfId="0" applyAlignment="1" applyFont="1">
      <alignment shrinkToFit="0" wrapText="1"/>
    </xf>
    <xf borderId="1" fillId="2" fontId="4" numFmtId="0" xfId="0" applyAlignment="1" applyBorder="1" applyFont="1">
      <alignment horizontal="center" vertical="center"/>
    </xf>
    <xf borderId="4" fillId="2" fontId="5" numFmtId="0" xfId="0" applyAlignment="1" applyBorder="1" applyFont="1">
      <alignment horizontal="center" vertical="center"/>
    </xf>
    <xf borderId="1" fillId="2" fontId="5" numFmtId="0" xfId="0" applyAlignment="1" applyBorder="1" applyFont="1">
      <alignment horizontal="center" vertical="center"/>
    </xf>
    <xf borderId="5" fillId="0" fontId="3" numFmtId="0" xfId="0" applyAlignment="1" applyBorder="1" applyFont="1">
      <alignment horizontal="center" vertical="center"/>
    </xf>
    <xf borderId="0" fillId="0" fontId="3" numFmtId="0" xfId="0" applyAlignment="1" applyFont="1">
      <alignment horizontal="left" vertical="center"/>
    </xf>
    <xf borderId="6" fillId="0" fontId="2" numFmtId="0" xfId="0" applyBorder="1" applyFont="1"/>
    <xf borderId="6" fillId="0" fontId="3" numFmtId="2" xfId="0" applyAlignment="1" applyBorder="1" applyFont="1" applyNumberFormat="1">
      <alignment horizontal="center" vertical="center"/>
    </xf>
    <xf borderId="5" fillId="0" fontId="3" numFmtId="2" xfId="0" applyAlignment="1" applyBorder="1" applyFont="1" applyNumberFormat="1">
      <alignment horizontal="center" vertical="center"/>
    </xf>
    <xf borderId="7" fillId="0" fontId="3" numFmtId="0" xfId="0" applyAlignment="1" applyBorder="1" applyFont="1">
      <alignment horizontal="center" vertical="center"/>
    </xf>
    <xf borderId="8" fillId="0" fontId="3" numFmtId="0" xfId="0" applyAlignment="1" applyBorder="1" applyFont="1">
      <alignment horizontal="left" vertical="center"/>
    </xf>
    <xf borderId="8" fillId="0" fontId="2" numFmtId="0" xfId="0" applyBorder="1" applyFont="1"/>
    <xf borderId="9" fillId="0" fontId="2" numFmtId="0" xfId="0" applyBorder="1" applyFont="1"/>
    <xf borderId="7" fillId="0" fontId="3" numFmtId="2" xfId="0" applyAlignment="1" applyBorder="1" applyFont="1" applyNumberFormat="1">
      <alignment horizontal="center" vertical="center"/>
    </xf>
    <xf borderId="1" fillId="0" fontId="3" numFmtId="0" xfId="0" applyAlignment="1" applyBorder="1" applyFont="1">
      <alignment horizontal="center" vertical="center"/>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3" numFmtId="2" xfId="0" applyFont="1" applyNumberFormat="1"/>
    <xf borderId="10" fillId="2" fontId="5" numFmtId="0" xfId="0" applyAlignment="1" applyBorder="1" applyFont="1">
      <alignment horizontal="center" vertical="center"/>
    </xf>
    <xf borderId="10" fillId="2" fontId="5" numFmtId="0" xfId="0" applyAlignment="1" applyBorder="1" applyFont="1">
      <alignment horizontal="center" shrinkToFit="0" vertical="center" wrapText="1"/>
    </xf>
    <xf borderId="0" fillId="0" fontId="6" numFmtId="0" xfId="0" applyAlignment="1" applyFont="1">
      <alignment horizontal="center" vertical="center"/>
    </xf>
    <xf borderId="0" fillId="0" fontId="7" numFmtId="0" xfId="0" applyAlignment="1" applyFont="1">
      <alignment horizontal="center" vertical="center"/>
    </xf>
    <xf borderId="0" fillId="0" fontId="6" numFmtId="2" xfId="0" applyAlignment="1" applyFont="1" applyNumberFormat="1">
      <alignment horizontal="center" vertical="center"/>
    </xf>
    <xf borderId="11" fillId="3" fontId="3" numFmtId="0" xfId="0" applyAlignment="1" applyBorder="1" applyFill="1" applyFont="1">
      <alignment horizontal="center" vertical="center"/>
    </xf>
    <xf borderId="12" fillId="3" fontId="3" numFmtId="0" xfId="0" applyAlignment="1" applyBorder="1" applyFont="1">
      <alignment horizontal="left" vertical="center"/>
    </xf>
    <xf borderId="12" fillId="3" fontId="3" numFmtId="0" xfId="0" applyAlignment="1" applyBorder="1" applyFont="1">
      <alignment horizontal="left" shrinkToFit="0" vertical="center" wrapText="1"/>
    </xf>
    <xf borderId="0" fillId="3" fontId="8" numFmtId="0" xfId="0" applyFont="1"/>
    <xf borderId="12" fillId="3" fontId="3" numFmtId="2" xfId="0" applyAlignment="1" applyBorder="1" applyFont="1" applyNumberFormat="1">
      <alignment horizontal="center" vertical="center"/>
    </xf>
    <xf borderId="5" fillId="4" fontId="3" numFmtId="0" xfId="0" applyAlignment="1" applyBorder="1" applyFill="1" applyFont="1">
      <alignment horizontal="center" vertical="center"/>
    </xf>
    <xf borderId="6" fillId="4" fontId="3" numFmtId="0" xfId="0" applyAlignment="1" applyBorder="1" applyFont="1">
      <alignment horizontal="left" vertical="center"/>
    </xf>
    <xf borderId="6" fillId="4" fontId="3" numFmtId="0" xfId="0" applyAlignment="1" applyBorder="1" applyFont="1">
      <alignment horizontal="left" shrinkToFit="0" vertical="center" wrapText="1"/>
    </xf>
    <xf borderId="0" fillId="4" fontId="8" numFmtId="0" xfId="0" applyFont="1"/>
    <xf borderId="6" fillId="4" fontId="3" numFmtId="2" xfId="0" applyAlignment="1" applyBorder="1" applyFont="1" applyNumberFormat="1">
      <alignment horizontal="center" vertical="center"/>
    </xf>
    <xf borderId="6" fillId="4" fontId="3" numFmtId="0" xfId="0" applyAlignment="1" applyBorder="1" applyFont="1">
      <alignment horizontal="left" readingOrder="0" vertical="center"/>
    </xf>
    <xf borderId="5" fillId="5" fontId="3" numFmtId="0" xfId="0" applyAlignment="1" applyBorder="1" applyFill="1" applyFont="1">
      <alignment horizontal="center" vertical="center"/>
    </xf>
    <xf borderId="6" fillId="5" fontId="3" numFmtId="0" xfId="0" applyAlignment="1" applyBorder="1" applyFont="1">
      <alignment horizontal="left" vertical="center"/>
    </xf>
    <xf borderId="6" fillId="5" fontId="3" numFmtId="0" xfId="0" applyAlignment="1" applyBorder="1" applyFont="1">
      <alignment horizontal="left" shrinkToFit="0" vertical="center" wrapText="1"/>
    </xf>
    <xf borderId="0" fillId="5" fontId="8" numFmtId="0" xfId="0" applyFont="1"/>
    <xf borderId="6" fillId="5" fontId="3" numFmtId="2" xfId="0" applyAlignment="1" applyBorder="1" applyFont="1" applyNumberFormat="1">
      <alignment horizontal="center" vertical="center"/>
    </xf>
    <xf borderId="6" fillId="5" fontId="3" numFmtId="0" xfId="0" applyAlignment="1" applyBorder="1" applyFont="1">
      <alignment horizontal="left" readingOrder="0" vertical="center"/>
    </xf>
    <xf borderId="6" fillId="5" fontId="9" numFmtId="0" xfId="0" applyAlignment="1" applyBorder="1" applyFont="1">
      <alignment horizontal="left" readingOrder="0" shrinkToFit="0" vertical="center" wrapText="1"/>
    </xf>
    <xf borderId="6" fillId="0" fontId="3" numFmtId="0" xfId="0" applyAlignment="1" applyBorder="1" applyFont="1">
      <alignment horizontal="left" vertical="center"/>
    </xf>
    <xf borderId="6" fillId="0" fontId="3" numFmtId="0" xfId="0" applyAlignment="1" applyBorder="1" applyFont="1">
      <alignment horizontal="left" shrinkToFit="0" vertical="center" wrapText="1"/>
    </xf>
    <xf borderId="0" fillId="0" fontId="8" numFmtId="0" xfId="0" applyFont="1"/>
    <xf borderId="6" fillId="0" fontId="3" numFmtId="0" xfId="0" applyAlignment="1" applyBorder="1" applyFont="1">
      <alignment horizontal="left" readingOrder="0" shrinkToFit="0" vertical="center" wrapText="1"/>
    </xf>
    <xf borderId="6" fillId="0" fontId="3" numFmtId="0" xfId="0" applyAlignment="1" applyBorder="1" applyFont="1">
      <alignment horizontal="left" readingOrder="0" shrinkToFit="0" vertical="center" wrapText="1"/>
    </xf>
    <xf borderId="6" fillId="0" fontId="10" numFmtId="0" xfId="0" applyAlignment="1" applyBorder="1" applyFont="1">
      <alignment horizontal="left" readingOrder="0" shrinkToFit="0" vertical="center" wrapText="1"/>
    </xf>
    <xf borderId="6" fillId="0" fontId="11" numFmtId="0" xfId="0" applyAlignment="1" applyBorder="1" applyFont="1">
      <alignment horizontal="left" readingOrder="0" vertical="center"/>
    </xf>
    <xf borderId="9" fillId="0" fontId="3" numFmtId="0" xfId="0" applyAlignment="1" applyBorder="1" applyFont="1">
      <alignment horizontal="left" vertical="center"/>
    </xf>
    <xf borderId="9"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nila.com/" TargetMode="External"/><Relationship Id="rId2" Type="http://schemas.openxmlformats.org/officeDocument/2006/relationships/hyperlink" Target="https://www.lumiere.com/" TargetMode="External"/><Relationship Id="rId3" Type="http://schemas.openxmlformats.org/officeDocument/2006/relationships/hyperlink" Target="https://www.manila.com/" TargetMode="External"/><Relationship Id="rId4" Type="http://schemas.openxmlformats.org/officeDocument/2006/relationships/hyperlink" Target="http://web.manila.com/" TargetMode="External"/><Relationship Id="rId5" Type="http://schemas.openxmlformats.org/officeDocument/2006/relationships/hyperlink" Target="http://www.manila.com/" TargetMode="External"/><Relationship Id="rId6" Type="http://schemas.openxmlformats.org/officeDocument/2006/relationships/hyperlink" Target="http://www.manila.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39.0"/>
    <col customWidth="1" min="3" max="3" width="7.88"/>
    <col customWidth="1" min="4" max="4" width="8.38"/>
    <col customWidth="1" min="5" max="5" width="52.13"/>
    <col customWidth="1" min="6" max="6" width="8.0"/>
    <col customWidth="1" min="7" max="7" width="46.63"/>
    <col customWidth="1" min="8" max="8" width="170.38"/>
    <col customWidth="1" min="9" max="9" width="11.38"/>
    <col customWidth="1" min="10" max="10" width="11.0"/>
    <col customWidth="1" min="11" max="11" width="10.63"/>
    <col customWidth="1" hidden="1" min="12" max="12" width="18.38"/>
    <col customWidth="1" min="13" max="13" width="8.88"/>
    <col customWidth="1" min="14" max="14" width="10.63"/>
    <col customWidth="1" min="15" max="26" width="8.88"/>
  </cols>
  <sheetData>
    <row r="1" ht="12.75" customHeight="1">
      <c r="A1" s="1" t="s">
        <v>0</v>
      </c>
      <c r="B1" s="2"/>
      <c r="C1" s="2"/>
      <c r="D1" s="2"/>
      <c r="E1" s="2"/>
      <c r="F1" s="2"/>
      <c r="G1" s="2"/>
      <c r="H1" s="2"/>
      <c r="I1" s="2"/>
      <c r="J1" s="2"/>
      <c r="K1" s="3"/>
    </row>
    <row r="2" ht="12.75" customHeight="1">
      <c r="C2" s="4"/>
      <c r="E2" s="4"/>
      <c r="G2" s="5"/>
      <c r="J2" s="4"/>
    </row>
    <row r="3" ht="12.75" customHeight="1">
      <c r="A3" s="6" t="s">
        <v>1</v>
      </c>
      <c r="B3" s="2"/>
      <c r="C3" s="2"/>
      <c r="D3" s="2"/>
      <c r="E3" s="2"/>
      <c r="F3" s="2"/>
      <c r="G3" s="2"/>
      <c r="H3" s="2"/>
      <c r="I3" s="2"/>
      <c r="J3" s="2"/>
      <c r="K3" s="3"/>
    </row>
    <row r="4" ht="12.75" customHeight="1">
      <c r="A4" s="7" t="s">
        <v>2</v>
      </c>
      <c r="B4" s="8" t="s">
        <v>3</v>
      </c>
      <c r="C4" s="2"/>
      <c r="D4" s="2"/>
      <c r="E4" s="2"/>
      <c r="F4" s="2"/>
      <c r="G4" s="2"/>
      <c r="H4" s="3"/>
      <c r="I4" s="7" t="s">
        <v>3</v>
      </c>
      <c r="J4" s="7" t="s">
        <v>4</v>
      </c>
      <c r="K4" s="7" t="s">
        <v>5</v>
      </c>
    </row>
    <row r="5" ht="12.75" customHeight="1">
      <c r="A5" s="9">
        <v>1.0</v>
      </c>
      <c r="B5" s="10" t="s">
        <v>6</v>
      </c>
      <c r="H5" s="11"/>
      <c r="I5" s="12">
        <v>5.0</v>
      </c>
      <c r="J5" s="13">
        <f>SUMIF(I30:I261, A5, K30:K261)</f>
        <v>4.45</v>
      </c>
      <c r="K5" s="13">
        <f t="shared" ref="K5:K12" si="1">ABS(I5-J5)</f>
        <v>0.55</v>
      </c>
    </row>
    <row r="6" ht="12.75" customHeight="1">
      <c r="A6" s="9">
        <v>2.0</v>
      </c>
      <c r="B6" s="10" t="s">
        <v>7</v>
      </c>
      <c r="H6" s="11"/>
      <c r="I6" s="12">
        <v>10.0</v>
      </c>
      <c r="J6" s="13">
        <f>SUMIF(I30:I261, A6, K30:K261)</f>
        <v>9.7</v>
      </c>
      <c r="K6" s="13">
        <f t="shared" si="1"/>
        <v>0.3</v>
      </c>
    </row>
    <row r="7" ht="12.75" customHeight="1">
      <c r="A7" s="9">
        <v>3.0</v>
      </c>
      <c r="B7" s="10" t="s">
        <v>8</v>
      </c>
      <c r="H7" s="11"/>
      <c r="I7" s="12">
        <v>10.0</v>
      </c>
      <c r="J7" s="13">
        <f>SUMIF(I30:I261, A7, K30:K261)</f>
        <v>9.57</v>
      </c>
      <c r="K7" s="13">
        <f t="shared" si="1"/>
        <v>0.43</v>
      </c>
    </row>
    <row r="8" ht="12.75" customHeight="1">
      <c r="A8" s="9">
        <v>4.0</v>
      </c>
      <c r="B8" s="10" t="s">
        <v>9</v>
      </c>
      <c r="H8" s="11"/>
      <c r="I8" s="12">
        <v>15.0</v>
      </c>
      <c r="J8" s="13">
        <f>SUMIF(I30:I261, A8, K30:K261)</f>
        <v>15.8</v>
      </c>
      <c r="K8" s="13">
        <f t="shared" si="1"/>
        <v>0.8</v>
      </c>
    </row>
    <row r="9" ht="12.75" customHeight="1">
      <c r="A9" s="9">
        <v>5.0</v>
      </c>
      <c r="B9" s="10" t="s">
        <v>10</v>
      </c>
      <c r="H9" s="11"/>
      <c r="I9" s="12">
        <v>15.0</v>
      </c>
      <c r="J9" s="13">
        <f>SUMIF(I30:I261, A9, K30:K261)</f>
        <v>15.47</v>
      </c>
      <c r="K9" s="13">
        <f t="shared" si="1"/>
        <v>0.47</v>
      </c>
    </row>
    <row r="10" ht="12.75" customHeight="1">
      <c r="A10" s="9">
        <v>6.0</v>
      </c>
      <c r="B10" s="10" t="s">
        <v>11</v>
      </c>
      <c r="H10" s="11"/>
      <c r="I10" s="12">
        <v>20.0</v>
      </c>
      <c r="J10" s="13">
        <f>SUMIF(I30:I261, A10, K30:K261)</f>
        <v>19.46</v>
      </c>
      <c r="K10" s="13">
        <f t="shared" si="1"/>
        <v>0.54</v>
      </c>
    </row>
    <row r="11" ht="12.75" customHeight="1">
      <c r="A11" s="9">
        <v>7.0</v>
      </c>
      <c r="B11" s="10" t="s">
        <v>12</v>
      </c>
      <c r="H11" s="11"/>
      <c r="I11" s="12">
        <v>10.0</v>
      </c>
      <c r="J11" s="13">
        <f>SUMIF(I30:I261, A11, K30:K261)</f>
        <v>9.97</v>
      </c>
      <c r="K11" s="13">
        <f t="shared" si="1"/>
        <v>0.03</v>
      </c>
    </row>
    <row r="12" ht="12.75" customHeight="1">
      <c r="A12" s="14">
        <v>8.0</v>
      </c>
      <c r="B12" s="15" t="s">
        <v>13</v>
      </c>
      <c r="C12" s="16"/>
      <c r="D12" s="16"/>
      <c r="E12" s="16"/>
      <c r="F12" s="16"/>
      <c r="G12" s="16"/>
      <c r="H12" s="17"/>
      <c r="I12" s="18">
        <v>15.0</v>
      </c>
      <c r="J12" s="18">
        <f>SUMIF(I30:I261, A12, K30:K261)</f>
        <v>15.58</v>
      </c>
      <c r="K12" s="18">
        <f t="shared" si="1"/>
        <v>0.58</v>
      </c>
    </row>
    <row r="13" ht="12.75" customHeight="1">
      <c r="C13" s="4"/>
      <c r="E13" s="4"/>
      <c r="G13" s="5"/>
      <c r="I13" s="19" t="s">
        <v>14</v>
      </c>
      <c r="J13" s="3"/>
      <c r="K13" s="18">
        <f>SUM(K5:K12)</f>
        <v>3.7</v>
      </c>
    </row>
    <row r="14" ht="12.75" customHeight="1">
      <c r="C14" s="4"/>
      <c r="E14" s="4"/>
      <c r="G14" s="5"/>
      <c r="I14" s="4"/>
      <c r="J14" s="4"/>
    </row>
    <row r="15" ht="12.75" customHeight="1">
      <c r="C15" s="4"/>
      <c r="E15" s="4"/>
      <c r="G15" s="5"/>
      <c r="I15" s="4"/>
      <c r="J15" s="4"/>
    </row>
    <row r="16" ht="12.75" customHeight="1">
      <c r="A16" s="6" t="s">
        <v>15</v>
      </c>
      <c r="B16" s="2"/>
      <c r="C16" s="2"/>
      <c r="D16" s="2"/>
      <c r="E16" s="2"/>
      <c r="F16" s="2"/>
      <c r="G16" s="2"/>
      <c r="H16" s="2"/>
      <c r="I16" s="2"/>
      <c r="J16" s="2"/>
      <c r="K16" s="3"/>
    </row>
    <row r="17" ht="12.75" customHeight="1">
      <c r="A17" s="7" t="s">
        <v>16</v>
      </c>
      <c r="B17" s="8" t="s">
        <v>17</v>
      </c>
      <c r="C17" s="2"/>
      <c r="D17" s="2"/>
      <c r="E17" s="2"/>
      <c r="F17" s="2"/>
      <c r="G17" s="2"/>
      <c r="H17" s="2"/>
      <c r="I17" s="2"/>
      <c r="J17" s="3"/>
      <c r="K17" s="7" t="s">
        <v>18</v>
      </c>
    </row>
    <row r="18" ht="12.75" customHeight="1">
      <c r="A18" s="9" t="s">
        <v>19</v>
      </c>
      <c r="B18" s="10" t="s">
        <v>20</v>
      </c>
      <c r="J18" s="11"/>
      <c r="K18" s="12">
        <v>25.0</v>
      </c>
    </row>
    <row r="19" ht="12.75" customHeight="1">
      <c r="A19" s="9" t="s">
        <v>21</v>
      </c>
      <c r="B19" s="10" t="s">
        <v>22</v>
      </c>
      <c r="J19" s="11"/>
      <c r="K19" s="12">
        <v>25.0</v>
      </c>
    </row>
    <row r="20" ht="12.75" customHeight="1">
      <c r="A20" s="9" t="s">
        <v>23</v>
      </c>
      <c r="B20" s="10" t="s">
        <v>24</v>
      </c>
      <c r="J20" s="11"/>
      <c r="K20" s="12">
        <v>25.0</v>
      </c>
    </row>
    <row r="21" ht="12.75" customHeight="1">
      <c r="A21" s="9" t="s">
        <v>25</v>
      </c>
      <c r="B21" s="10" t="s">
        <v>26</v>
      </c>
      <c r="J21" s="11"/>
      <c r="K21" s="12">
        <v>25.0</v>
      </c>
    </row>
    <row r="22" ht="12.75" customHeight="1">
      <c r="A22" s="9" t="s">
        <v>27</v>
      </c>
      <c r="B22" s="10"/>
      <c r="J22" s="11"/>
      <c r="K22" s="12"/>
    </row>
    <row r="23" ht="12.75" customHeight="1">
      <c r="A23" s="9" t="s">
        <v>28</v>
      </c>
      <c r="B23" s="10"/>
      <c r="J23" s="11"/>
      <c r="K23" s="12"/>
    </row>
    <row r="24" ht="12.75" customHeight="1">
      <c r="A24" s="9" t="s">
        <v>29</v>
      </c>
      <c r="B24" s="10"/>
      <c r="J24" s="11"/>
      <c r="K24" s="12"/>
    </row>
    <row r="25" ht="12.75" customHeight="1">
      <c r="A25" s="9" t="s">
        <v>30</v>
      </c>
      <c r="B25" s="10"/>
      <c r="J25" s="11"/>
      <c r="K25" s="12"/>
    </row>
    <row r="26" ht="12.75" customHeight="1">
      <c r="A26" s="14" t="s">
        <v>31</v>
      </c>
      <c r="B26" s="15"/>
      <c r="C26" s="16"/>
      <c r="D26" s="16"/>
      <c r="E26" s="16"/>
      <c r="F26" s="16"/>
      <c r="G26" s="16"/>
      <c r="H26" s="16"/>
      <c r="I26" s="16"/>
      <c r="J26" s="17"/>
      <c r="K26" s="18"/>
    </row>
    <row r="27" ht="12.75" customHeight="1">
      <c r="F27" s="20"/>
      <c r="G27" s="21"/>
      <c r="H27" s="20"/>
      <c r="I27" s="20"/>
      <c r="J27" s="22"/>
    </row>
    <row r="28" ht="12.75" customHeight="1">
      <c r="C28" s="22"/>
      <c r="G28" s="5"/>
      <c r="H28" s="22"/>
      <c r="I28" s="22"/>
      <c r="J28" s="22"/>
    </row>
    <row r="29" ht="12.75" customHeight="1">
      <c r="A29" s="23" t="s">
        <v>32</v>
      </c>
      <c r="B29" s="23" t="s">
        <v>33</v>
      </c>
      <c r="C29" s="23" t="s">
        <v>34</v>
      </c>
      <c r="D29" s="23" t="s">
        <v>35</v>
      </c>
      <c r="E29" s="23" t="s">
        <v>36</v>
      </c>
      <c r="F29" s="23" t="s">
        <v>37</v>
      </c>
      <c r="G29" s="24" t="s">
        <v>38</v>
      </c>
      <c r="H29" s="23" t="s">
        <v>39</v>
      </c>
      <c r="I29" s="23" t="s">
        <v>40</v>
      </c>
      <c r="J29" s="23" t="s">
        <v>41</v>
      </c>
      <c r="K29" s="23" t="s">
        <v>42</v>
      </c>
      <c r="L29" s="25" t="s">
        <v>43</v>
      </c>
      <c r="M29" s="26" t="s">
        <v>44</v>
      </c>
      <c r="N29" s="27">
        <f>SUM(K30:K128)</f>
        <v>25</v>
      </c>
    </row>
    <row r="30" ht="12.75" customHeight="1">
      <c r="A30" s="28" t="s">
        <v>45</v>
      </c>
      <c r="B30" s="29" t="s">
        <v>46</v>
      </c>
      <c r="C30" s="28" t="s">
        <v>47</v>
      </c>
      <c r="D30" s="29" t="s">
        <v>48</v>
      </c>
      <c r="E30" s="29" t="s">
        <v>48</v>
      </c>
      <c r="F30" s="29" t="s">
        <v>48</v>
      </c>
      <c r="G30" s="30" t="s">
        <v>48</v>
      </c>
      <c r="H30" s="29" t="s">
        <v>48</v>
      </c>
      <c r="I30" s="29" t="s">
        <v>48</v>
      </c>
      <c r="J30" s="29" t="s">
        <v>48</v>
      </c>
      <c r="K30" s="29" t="s">
        <v>48</v>
      </c>
      <c r="L30" s="31"/>
      <c r="M30" s="31"/>
    </row>
    <row r="31" ht="12.75" customHeight="1">
      <c r="A31" s="28" t="s">
        <v>48</v>
      </c>
      <c r="B31" s="29" t="s">
        <v>48</v>
      </c>
      <c r="C31" s="28" t="s">
        <v>48</v>
      </c>
      <c r="D31" s="28" t="s">
        <v>49</v>
      </c>
      <c r="E31" s="29" t="s">
        <v>50</v>
      </c>
      <c r="F31" s="28" t="s">
        <v>48</v>
      </c>
      <c r="G31" s="30" t="s">
        <v>51</v>
      </c>
      <c r="H31" s="29" t="s">
        <v>52</v>
      </c>
      <c r="I31" s="28">
        <v>2.0</v>
      </c>
      <c r="J31" s="28">
        <v>1.0</v>
      </c>
      <c r="K31" s="32">
        <v>2.0</v>
      </c>
      <c r="L31" s="31">
        <f t="shared" ref="L31:L32" si="2">K31/25*34</f>
        <v>2.72</v>
      </c>
      <c r="M31" s="31"/>
    </row>
    <row r="32" ht="12.75" customHeight="1">
      <c r="A32" s="28" t="s">
        <v>48</v>
      </c>
      <c r="B32" s="29" t="s">
        <v>48</v>
      </c>
      <c r="C32" s="28" t="s">
        <v>48</v>
      </c>
      <c r="D32" s="28" t="s">
        <v>53</v>
      </c>
      <c r="E32" s="30" t="s">
        <v>54</v>
      </c>
      <c r="F32" s="28" t="s">
        <v>48</v>
      </c>
      <c r="G32" s="30" t="s">
        <v>48</v>
      </c>
      <c r="H32" s="29" t="s">
        <v>48</v>
      </c>
      <c r="I32" s="28">
        <v>2.0</v>
      </c>
      <c r="J32" s="28"/>
      <c r="K32" s="32">
        <v>2.0</v>
      </c>
      <c r="L32" s="31">
        <f t="shared" si="2"/>
        <v>2.72</v>
      </c>
      <c r="M32" s="31">
        <v>4.0</v>
      </c>
    </row>
    <row r="33" ht="12.75" customHeight="1">
      <c r="A33" s="28" t="s">
        <v>48</v>
      </c>
      <c r="B33" s="29" t="s">
        <v>48</v>
      </c>
      <c r="C33" s="28" t="s">
        <v>48</v>
      </c>
      <c r="D33" s="28" t="s">
        <v>48</v>
      </c>
      <c r="E33" s="29" t="s">
        <v>48</v>
      </c>
      <c r="F33" s="28">
        <v>0.0</v>
      </c>
      <c r="G33" s="30" t="s">
        <v>55</v>
      </c>
      <c r="H33" s="29" t="s">
        <v>48</v>
      </c>
      <c r="I33" s="28"/>
      <c r="J33" s="28"/>
      <c r="K33" s="32"/>
      <c r="L33" s="31"/>
      <c r="M33" s="31"/>
    </row>
    <row r="34" ht="12.75" customHeight="1">
      <c r="A34" s="28" t="s">
        <v>48</v>
      </c>
      <c r="B34" s="29" t="s">
        <v>48</v>
      </c>
      <c r="C34" s="28" t="s">
        <v>48</v>
      </c>
      <c r="D34" s="28" t="s">
        <v>48</v>
      </c>
      <c r="E34" s="29" t="s">
        <v>48</v>
      </c>
      <c r="F34" s="28">
        <v>1.0</v>
      </c>
      <c r="G34" s="30" t="s">
        <v>56</v>
      </c>
      <c r="H34" s="29" t="s">
        <v>48</v>
      </c>
      <c r="I34" s="28"/>
      <c r="J34" s="28"/>
      <c r="K34" s="32"/>
      <c r="L34" s="31"/>
      <c r="M34" s="31"/>
    </row>
    <row r="35" ht="12.75" customHeight="1">
      <c r="A35" s="28" t="s">
        <v>48</v>
      </c>
      <c r="B35" s="29" t="s">
        <v>48</v>
      </c>
      <c r="C35" s="28" t="s">
        <v>48</v>
      </c>
      <c r="D35" s="28" t="s">
        <v>48</v>
      </c>
      <c r="E35" s="29" t="s">
        <v>48</v>
      </c>
      <c r="F35" s="28">
        <v>2.0</v>
      </c>
      <c r="G35" s="30" t="s">
        <v>57</v>
      </c>
      <c r="H35" s="29" t="s">
        <v>48</v>
      </c>
      <c r="I35" s="28"/>
      <c r="J35" s="28"/>
      <c r="K35" s="32"/>
      <c r="L35" s="31"/>
      <c r="M35" s="31"/>
    </row>
    <row r="36" ht="12.75" customHeight="1">
      <c r="A36" s="28" t="s">
        <v>48</v>
      </c>
      <c r="B36" s="29" t="s">
        <v>48</v>
      </c>
      <c r="C36" s="28" t="s">
        <v>48</v>
      </c>
      <c r="D36" s="28" t="s">
        <v>48</v>
      </c>
      <c r="E36" s="29" t="s">
        <v>48</v>
      </c>
      <c r="F36" s="28">
        <v>3.0</v>
      </c>
      <c r="G36" s="30" t="s">
        <v>58</v>
      </c>
      <c r="H36" s="29" t="s">
        <v>48</v>
      </c>
      <c r="I36" s="28"/>
      <c r="J36" s="28"/>
      <c r="K36" s="32"/>
      <c r="L36" s="31"/>
      <c r="M36" s="31"/>
    </row>
    <row r="37" ht="12.75" customHeight="1">
      <c r="A37" s="28" t="s">
        <v>48</v>
      </c>
      <c r="B37" s="29" t="s">
        <v>48</v>
      </c>
      <c r="C37" s="28" t="s">
        <v>48</v>
      </c>
      <c r="D37" s="28" t="s">
        <v>53</v>
      </c>
      <c r="E37" s="29" t="s">
        <v>59</v>
      </c>
      <c r="F37" s="28" t="s">
        <v>48</v>
      </c>
      <c r="G37" s="30" t="s">
        <v>48</v>
      </c>
      <c r="H37" s="29" t="s">
        <v>48</v>
      </c>
      <c r="I37" s="28">
        <v>2.0</v>
      </c>
      <c r="J37" s="28"/>
      <c r="K37" s="32">
        <v>1.0</v>
      </c>
      <c r="L37" s="31">
        <f>K37/25*34</f>
        <v>1.36</v>
      </c>
      <c r="M37" s="31">
        <v>2.0</v>
      </c>
    </row>
    <row r="38" ht="12.75" customHeight="1">
      <c r="A38" s="28" t="s">
        <v>48</v>
      </c>
      <c r="B38" s="29" t="s">
        <v>48</v>
      </c>
      <c r="C38" s="28" t="s">
        <v>48</v>
      </c>
      <c r="D38" s="28" t="s">
        <v>48</v>
      </c>
      <c r="E38" s="29" t="s">
        <v>48</v>
      </c>
      <c r="F38" s="28">
        <v>0.0</v>
      </c>
      <c r="G38" s="30" t="s">
        <v>55</v>
      </c>
      <c r="H38" s="29" t="s">
        <v>48</v>
      </c>
      <c r="I38" s="28"/>
      <c r="J38" s="28"/>
      <c r="K38" s="32"/>
      <c r="L38" s="31"/>
      <c r="M38" s="31"/>
    </row>
    <row r="39" ht="12.75" customHeight="1">
      <c r="A39" s="28" t="s">
        <v>48</v>
      </c>
      <c r="B39" s="29" t="s">
        <v>48</v>
      </c>
      <c r="C39" s="28" t="s">
        <v>48</v>
      </c>
      <c r="D39" s="28" t="s">
        <v>48</v>
      </c>
      <c r="E39" s="29" t="s">
        <v>48</v>
      </c>
      <c r="F39" s="28">
        <v>1.0</v>
      </c>
      <c r="G39" s="30" t="s">
        <v>56</v>
      </c>
      <c r="H39" s="29" t="s">
        <v>48</v>
      </c>
      <c r="I39" s="28"/>
      <c r="J39" s="28"/>
      <c r="K39" s="32"/>
      <c r="L39" s="31"/>
      <c r="M39" s="31"/>
    </row>
    <row r="40" ht="12.75" customHeight="1">
      <c r="A40" s="28" t="s">
        <v>48</v>
      </c>
      <c r="B40" s="29" t="s">
        <v>48</v>
      </c>
      <c r="C40" s="28" t="s">
        <v>48</v>
      </c>
      <c r="D40" s="28" t="s">
        <v>48</v>
      </c>
      <c r="E40" s="29" t="s">
        <v>48</v>
      </c>
      <c r="F40" s="28">
        <v>2.0</v>
      </c>
      <c r="G40" s="30" t="s">
        <v>57</v>
      </c>
      <c r="H40" s="29" t="s">
        <v>48</v>
      </c>
      <c r="I40" s="28"/>
      <c r="J40" s="28"/>
      <c r="K40" s="32"/>
      <c r="L40" s="31"/>
      <c r="M40" s="31"/>
    </row>
    <row r="41" ht="12.75" customHeight="1">
      <c r="A41" s="28" t="s">
        <v>48</v>
      </c>
      <c r="B41" s="29" t="s">
        <v>48</v>
      </c>
      <c r="C41" s="28" t="s">
        <v>48</v>
      </c>
      <c r="D41" s="28" t="s">
        <v>48</v>
      </c>
      <c r="E41" s="29" t="s">
        <v>48</v>
      </c>
      <c r="F41" s="28">
        <v>3.0</v>
      </c>
      <c r="G41" s="30" t="s">
        <v>58</v>
      </c>
      <c r="H41" s="29" t="s">
        <v>48</v>
      </c>
      <c r="I41" s="28"/>
      <c r="J41" s="28"/>
      <c r="K41" s="32"/>
      <c r="L41" s="31"/>
      <c r="M41" s="31"/>
    </row>
    <row r="42" ht="12.75" customHeight="1">
      <c r="A42" s="28" t="s">
        <v>48</v>
      </c>
      <c r="B42" s="29" t="s">
        <v>48</v>
      </c>
      <c r="C42" s="28" t="s">
        <v>48</v>
      </c>
      <c r="D42" s="28" t="s">
        <v>53</v>
      </c>
      <c r="E42" s="29" t="s">
        <v>60</v>
      </c>
      <c r="F42" s="28" t="s">
        <v>48</v>
      </c>
      <c r="G42" s="30" t="s">
        <v>48</v>
      </c>
      <c r="H42" s="29" t="s">
        <v>48</v>
      </c>
      <c r="I42" s="28">
        <v>2.0</v>
      </c>
      <c r="J42" s="28"/>
      <c r="K42" s="32">
        <v>1.0</v>
      </c>
      <c r="L42" s="31">
        <f>K42/25*34</f>
        <v>1.36</v>
      </c>
      <c r="M42" s="31">
        <v>2.0</v>
      </c>
    </row>
    <row r="43" ht="12.75" customHeight="1">
      <c r="A43" s="28" t="s">
        <v>48</v>
      </c>
      <c r="B43" s="29" t="s">
        <v>48</v>
      </c>
      <c r="C43" s="28" t="s">
        <v>48</v>
      </c>
      <c r="D43" s="28" t="s">
        <v>48</v>
      </c>
      <c r="E43" s="29" t="s">
        <v>48</v>
      </c>
      <c r="F43" s="28">
        <v>0.0</v>
      </c>
      <c r="G43" s="30" t="s">
        <v>55</v>
      </c>
      <c r="H43" s="29" t="s">
        <v>48</v>
      </c>
      <c r="I43" s="28"/>
      <c r="J43" s="28"/>
      <c r="K43" s="32"/>
      <c r="L43" s="31"/>
      <c r="M43" s="31"/>
    </row>
    <row r="44" ht="12.75" customHeight="1">
      <c r="A44" s="28" t="s">
        <v>48</v>
      </c>
      <c r="B44" s="29" t="s">
        <v>48</v>
      </c>
      <c r="C44" s="28" t="s">
        <v>48</v>
      </c>
      <c r="D44" s="28" t="s">
        <v>48</v>
      </c>
      <c r="E44" s="29" t="s">
        <v>48</v>
      </c>
      <c r="F44" s="28">
        <v>1.0</v>
      </c>
      <c r="G44" s="30" t="s">
        <v>56</v>
      </c>
      <c r="H44" s="29" t="s">
        <v>48</v>
      </c>
      <c r="I44" s="28"/>
      <c r="J44" s="28"/>
      <c r="K44" s="32"/>
      <c r="L44" s="31"/>
      <c r="M44" s="31"/>
    </row>
    <row r="45" ht="12.75" customHeight="1">
      <c r="A45" s="28" t="s">
        <v>48</v>
      </c>
      <c r="B45" s="29" t="s">
        <v>48</v>
      </c>
      <c r="C45" s="28" t="s">
        <v>48</v>
      </c>
      <c r="D45" s="28" t="s">
        <v>48</v>
      </c>
      <c r="E45" s="29" t="s">
        <v>48</v>
      </c>
      <c r="F45" s="28">
        <v>2.0</v>
      </c>
      <c r="G45" s="30" t="s">
        <v>57</v>
      </c>
      <c r="H45" s="29" t="s">
        <v>48</v>
      </c>
      <c r="I45" s="28"/>
      <c r="J45" s="28"/>
      <c r="K45" s="32"/>
      <c r="L45" s="31"/>
      <c r="M45" s="31"/>
    </row>
    <row r="46" ht="12.75" customHeight="1">
      <c r="A46" s="28" t="s">
        <v>48</v>
      </c>
      <c r="B46" s="29" t="s">
        <v>48</v>
      </c>
      <c r="C46" s="28" t="s">
        <v>48</v>
      </c>
      <c r="D46" s="28" t="s">
        <v>48</v>
      </c>
      <c r="E46" s="29" t="s">
        <v>48</v>
      </c>
      <c r="F46" s="28">
        <v>3.0</v>
      </c>
      <c r="G46" s="30" t="s">
        <v>58</v>
      </c>
      <c r="H46" s="29" t="s">
        <v>48</v>
      </c>
      <c r="I46" s="28"/>
      <c r="J46" s="28"/>
      <c r="K46" s="32"/>
    </row>
    <row r="47" ht="12.75" customHeight="1">
      <c r="A47" s="33" t="s">
        <v>61</v>
      </c>
      <c r="B47" s="34" t="s">
        <v>62</v>
      </c>
      <c r="C47" s="33" t="s">
        <v>47</v>
      </c>
      <c r="D47" s="34" t="s">
        <v>48</v>
      </c>
      <c r="E47" s="34" t="s">
        <v>48</v>
      </c>
      <c r="F47" s="34" t="s">
        <v>48</v>
      </c>
      <c r="G47" s="35" t="s">
        <v>48</v>
      </c>
      <c r="H47" s="34" t="s">
        <v>48</v>
      </c>
      <c r="I47" s="34" t="s">
        <v>48</v>
      </c>
      <c r="J47" s="34" t="s">
        <v>48</v>
      </c>
      <c r="K47" s="34" t="s">
        <v>48</v>
      </c>
      <c r="L47" s="36"/>
      <c r="M47" s="36"/>
    </row>
    <row r="48" ht="12.75" customHeight="1">
      <c r="A48" s="33" t="s">
        <v>48</v>
      </c>
      <c r="B48" s="34" t="s">
        <v>48</v>
      </c>
      <c r="C48" s="33" t="s">
        <v>48</v>
      </c>
      <c r="D48" s="33" t="s">
        <v>49</v>
      </c>
      <c r="E48" s="34" t="s">
        <v>63</v>
      </c>
      <c r="F48" s="33" t="s">
        <v>48</v>
      </c>
      <c r="G48" s="35" t="s">
        <v>64</v>
      </c>
      <c r="H48" s="34" t="s">
        <v>65</v>
      </c>
      <c r="I48" s="33">
        <v>4.0</v>
      </c>
      <c r="J48" s="33">
        <v>1.0</v>
      </c>
      <c r="K48" s="37">
        <v>0.2</v>
      </c>
      <c r="L48" s="36">
        <f t="shared" ref="L48:L49" si="3">K48/25*34</f>
        <v>0.272</v>
      </c>
      <c r="M48" s="36">
        <f t="shared" ref="M48:M49" si="4">IF(K48=0.2,0.25,IF(K48=0.6,0.8,IF(K48=0.3,0.4,IF(K48=0.1,0.15,IF(K48=0.4,0.6,IF(K48=0.7,1,IF(K48=0.25,0.4,IF(K48=0.5,0.6,IF(K48=1,1.4,IF(K48=0.55,0.75,999))))))))))</f>
        <v>0.25</v>
      </c>
    </row>
    <row r="49" ht="12.75" customHeight="1">
      <c r="A49" s="33" t="s">
        <v>48</v>
      </c>
      <c r="B49" s="34" t="s">
        <v>48</v>
      </c>
      <c r="C49" s="33" t="s">
        <v>48</v>
      </c>
      <c r="D49" s="33" t="s">
        <v>49</v>
      </c>
      <c r="E49" s="34" t="s">
        <v>66</v>
      </c>
      <c r="F49" s="33" t="s">
        <v>48</v>
      </c>
      <c r="G49" s="35" t="s">
        <v>67</v>
      </c>
      <c r="H49" s="38" t="s">
        <v>68</v>
      </c>
      <c r="I49" s="33">
        <v>4.0</v>
      </c>
      <c r="J49" s="33">
        <v>1.0</v>
      </c>
      <c r="K49" s="37">
        <v>0.2</v>
      </c>
      <c r="L49" s="36">
        <f t="shared" si="3"/>
        <v>0.272</v>
      </c>
      <c r="M49" s="36">
        <f t="shared" si="4"/>
        <v>0.25</v>
      </c>
    </row>
    <row r="50" ht="12.75" customHeight="1">
      <c r="A50" s="33" t="s">
        <v>48</v>
      </c>
      <c r="B50" s="34" t="s">
        <v>48</v>
      </c>
      <c r="C50" s="33" t="s">
        <v>48</v>
      </c>
      <c r="D50" s="33" t="s">
        <v>48</v>
      </c>
      <c r="E50" s="34" t="s">
        <v>48</v>
      </c>
      <c r="F50" s="33" t="s">
        <v>48</v>
      </c>
      <c r="G50" s="35" t="s">
        <v>69</v>
      </c>
      <c r="H50" s="34" t="s">
        <v>48</v>
      </c>
      <c r="I50" s="33"/>
      <c r="J50" s="33"/>
      <c r="K50" s="37"/>
      <c r="L50" s="36"/>
      <c r="M50" s="36"/>
    </row>
    <row r="51" ht="12.75" customHeight="1">
      <c r="A51" s="33" t="s">
        <v>48</v>
      </c>
      <c r="B51" s="34" t="s">
        <v>48</v>
      </c>
      <c r="C51" s="33" t="s">
        <v>48</v>
      </c>
      <c r="D51" s="33" t="s">
        <v>49</v>
      </c>
      <c r="E51" s="34" t="s">
        <v>70</v>
      </c>
      <c r="F51" s="33" t="s">
        <v>48</v>
      </c>
      <c r="G51" s="35" t="s">
        <v>71</v>
      </c>
      <c r="H51" s="34" t="s">
        <v>48</v>
      </c>
      <c r="I51" s="33">
        <v>1.0</v>
      </c>
      <c r="J51" s="33">
        <v>1.0</v>
      </c>
      <c r="K51" s="37">
        <v>0.6</v>
      </c>
      <c r="L51" s="36">
        <f t="shared" ref="L51:L60" si="5">K51/25*34</f>
        <v>0.816</v>
      </c>
      <c r="M51" s="36">
        <f t="shared" ref="M51:M57" si="6">IF(K51=0.2,0.25,IF(K51=0.6,0.8,IF(K51=0.3,0.4,IF(K51=0.1,0.15,IF(K51=0.4,0.6,IF(K51=0.7,1,IF(K51=0.25,0.4,IF(K51=0.5,0.6,IF(K51=1,1.4,IF(K51=0.55,0.75,999))))))))))</f>
        <v>0.8</v>
      </c>
    </row>
    <row r="52" ht="12.75" customHeight="1">
      <c r="A52" s="33" t="s">
        <v>48</v>
      </c>
      <c r="B52" s="34" t="s">
        <v>48</v>
      </c>
      <c r="C52" s="33" t="s">
        <v>48</v>
      </c>
      <c r="D52" s="33" t="s">
        <v>49</v>
      </c>
      <c r="E52" s="34" t="s">
        <v>70</v>
      </c>
      <c r="F52" s="33" t="s">
        <v>48</v>
      </c>
      <c r="G52" s="35" t="s">
        <v>72</v>
      </c>
      <c r="H52" s="34" t="s">
        <v>73</v>
      </c>
      <c r="I52" s="33">
        <v>3.0</v>
      </c>
      <c r="J52" s="33">
        <v>1.0</v>
      </c>
      <c r="K52" s="37">
        <v>0.3</v>
      </c>
      <c r="L52" s="36">
        <f t="shared" si="5"/>
        <v>0.408</v>
      </c>
      <c r="M52" s="36">
        <f t="shared" si="6"/>
        <v>0.4</v>
      </c>
    </row>
    <row r="53" ht="12.75" customHeight="1">
      <c r="A53" s="33" t="s">
        <v>48</v>
      </c>
      <c r="B53" s="34" t="s">
        <v>48</v>
      </c>
      <c r="C53" s="33" t="s">
        <v>48</v>
      </c>
      <c r="D53" s="33" t="s">
        <v>49</v>
      </c>
      <c r="E53" s="34" t="s">
        <v>74</v>
      </c>
      <c r="F53" s="33" t="s">
        <v>48</v>
      </c>
      <c r="G53" s="35" t="s">
        <v>75</v>
      </c>
      <c r="H53" s="34" t="s">
        <v>76</v>
      </c>
      <c r="I53" s="33">
        <v>6.0</v>
      </c>
      <c r="J53" s="33">
        <v>1.0</v>
      </c>
      <c r="K53" s="37">
        <v>0.1</v>
      </c>
      <c r="L53" s="36">
        <f t="shared" si="5"/>
        <v>0.136</v>
      </c>
      <c r="M53" s="36">
        <f t="shared" si="6"/>
        <v>0.15</v>
      </c>
    </row>
    <row r="54" ht="12.75" customHeight="1">
      <c r="A54" s="33" t="s">
        <v>48</v>
      </c>
      <c r="B54" s="34" t="s">
        <v>48</v>
      </c>
      <c r="C54" s="33" t="s">
        <v>48</v>
      </c>
      <c r="D54" s="33" t="s">
        <v>49</v>
      </c>
      <c r="E54" s="34" t="s">
        <v>77</v>
      </c>
      <c r="F54" s="33" t="s">
        <v>48</v>
      </c>
      <c r="G54" s="35" t="s">
        <v>78</v>
      </c>
      <c r="H54" s="34" t="s">
        <v>79</v>
      </c>
      <c r="I54" s="33">
        <v>3.0</v>
      </c>
      <c r="J54" s="33">
        <v>1.0</v>
      </c>
      <c r="K54" s="37">
        <v>0.4</v>
      </c>
      <c r="L54" s="36">
        <f t="shared" si="5"/>
        <v>0.544</v>
      </c>
      <c r="M54" s="36">
        <f t="shared" si="6"/>
        <v>0.6</v>
      </c>
    </row>
    <row r="55" ht="12.75" customHeight="1">
      <c r="A55" s="33" t="s">
        <v>48</v>
      </c>
      <c r="B55" s="34" t="s">
        <v>48</v>
      </c>
      <c r="C55" s="33" t="s">
        <v>48</v>
      </c>
      <c r="D55" s="33" t="s">
        <v>49</v>
      </c>
      <c r="E55" s="34" t="s">
        <v>80</v>
      </c>
      <c r="F55" s="33" t="s">
        <v>48</v>
      </c>
      <c r="G55" s="35" t="s">
        <v>81</v>
      </c>
      <c r="H55" s="34" t="s">
        <v>82</v>
      </c>
      <c r="I55" s="33">
        <v>4.0</v>
      </c>
      <c r="J55" s="33">
        <v>1.0</v>
      </c>
      <c r="K55" s="37">
        <v>0.4</v>
      </c>
      <c r="L55" s="36">
        <f t="shared" si="5"/>
        <v>0.544</v>
      </c>
      <c r="M55" s="36">
        <f t="shared" si="6"/>
        <v>0.6</v>
      </c>
    </row>
    <row r="56" ht="12.75" customHeight="1">
      <c r="A56" s="33" t="s">
        <v>48</v>
      </c>
      <c r="B56" s="34" t="s">
        <v>48</v>
      </c>
      <c r="C56" s="33" t="s">
        <v>48</v>
      </c>
      <c r="D56" s="33" t="s">
        <v>49</v>
      </c>
      <c r="E56" s="34" t="s">
        <v>83</v>
      </c>
      <c r="F56" s="33" t="s">
        <v>48</v>
      </c>
      <c r="G56" s="35" t="s">
        <v>84</v>
      </c>
      <c r="H56" s="34" t="s">
        <v>85</v>
      </c>
      <c r="I56" s="33">
        <v>5.0</v>
      </c>
      <c r="J56" s="33">
        <v>1.0</v>
      </c>
      <c r="K56" s="37">
        <v>0.7</v>
      </c>
      <c r="L56" s="36">
        <f t="shared" si="5"/>
        <v>0.952</v>
      </c>
      <c r="M56" s="36">
        <f t="shared" si="6"/>
        <v>1</v>
      </c>
    </row>
    <row r="57" ht="12.75" customHeight="1">
      <c r="A57" s="33" t="s">
        <v>48</v>
      </c>
      <c r="B57" s="34" t="s">
        <v>48</v>
      </c>
      <c r="C57" s="33" t="s">
        <v>48</v>
      </c>
      <c r="D57" s="33" t="s">
        <v>49</v>
      </c>
      <c r="E57" s="34" t="s">
        <v>86</v>
      </c>
      <c r="F57" s="33" t="s">
        <v>48</v>
      </c>
      <c r="G57" s="35" t="s">
        <v>87</v>
      </c>
      <c r="H57" s="34" t="s">
        <v>88</v>
      </c>
      <c r="I57" s="33">
        <v>3.0</v>
      </c>
      <c r="J57" s="33">
        <v>1.0</v>
      </c>
      <c r="K57" s="37">
        <v>0.25</v>
      </c>
      <c r="L57" s="36">
        <f t="shared" si="5"/>
        <v>0.34</v>
      </c>
      <c r="M57" s="36">
        <f t="shared" si="6"/>
        <v>0.4</v>
      </c>
    </row>
    <row r="58" ht="12.75" customHeight="1">
      <c r="A58" s="33" t="s">
        <v>48</v>
      </c>
      <c r="B58" s="34" t="s">
        <v>48</v>
      </c>
      <c r="C58" s="33" t="s">
        <v>48</v>
      </c>
      <c r="D58" s="33" t="s">
        <v>49</v>
      </c>
      <c r="E58" s="34" t="s">
        <v>89</v>
      </c>
      <c r="F58" s="33" t="s">
        <v>48</v>
      </c>
      <c r="G58" s="35" t="s">
        <v>90</v>
      </c>
      <c r="H58" s="34" t="s">
        <v>85</v>
      </c>
      <c r="I58" s="33">
        <v>3.0</v>
      </c>
      <c r="J58" s="33">
        <v>1.0</v>
      </c>
      <c r="K58" s="37">
        <v>0.5</v>
      </c>
      <c r="L58" s="36">
        <f t="shared" si="5"/>
        <v>0.68</v>
      </c>
      <c r="M58" s="36">
        <f>IF(K58=0.2,0.25,IF(K58=0.6,0.8,IF(K58=0.3,0.4,IF(K58=0.1,0.15,IF(K58=0.4,0.6,IF(K58=0.7,1,IF(K58=0.25,0.4,IF(K58=0.5,0.7,IF(K58=1,1.4,IF(K58=0.55,0.75,999))))))))))</f>
        <v>0.7</v>
      </c>
    </row>
    <row r="59" ht="12.75" customHeight="1">
      <c r="A59" s="33" t="s">
        <v>48</v>
      </c>
      <c r="B59" s="34" t="s">
        <v>48</v>
      </c>
      <c r="C59" s="33" t="s">
        <v>48</v>
      </c>
      <c r="D59" s="33" t="s">
        <v>49</v>
      </c>
      <c r="E59" s="34" t="s">
        <v>91</v>
      </c>
      <c r="F59" s="33" t="s">
        <v>48</v>
      </c>
      <c r="G59" s="35" t="s">
        <v>92</v>
      </c>
      <c r="H59" s="34" t="s">
        <v>93</v>
      </c>
      <c r="I59" s="33">
        <v>3.0</v>
      </c>
      <c r="J59" s="33">
        <v>1.0</v>
      </c>
      <c r="K59" s="37">
        <v>0.3</v>
      </c>
      <c r="L59" s="36">
        <f t="shared" si="5"/>
        <v>0.408</v>
      </c>
      <c r="M59" s="36">
        <f t="shared" ref="M59:M60" si="7">IF(K59=0.2,0.25,IF(K59=0.6,0.8,IF(K59=0.3,0.4,IF(K59=0.1,0.15,IF(K59=0.4,0.6,IF(K59=0.7,1,IF(K59=0.25,0.4,IF(K59=0.5,0.6,IF(K59=1,1.4,IF(K59=0.55,0.75,999))))))))))</f>
        <v>0.4</v>
      </c>
    </row>
    <row r="60" ht="12.75" customHeight="1">
      <c r="A60" s="33" t="s">
        <v>48</v>
      </c>
      <c r="B60" s="34" t="s">
        <v>48</v>
      </c>
      <c r="C60" s="33" t="s">
        <v>48</v>
      </c>
      <c r="D60" s="33" t="s">
        <v>53</v>
      </c>
      <c r="E60" s="34" t="s">
        <v>94</v>
      </c>
      <c r="F60" s="33" t="s">
        <v>48</v>
      </c>
      <c r="G60" s="35" t="s">
        <v>48</v>
      </c>
      <c r="H60" s="34" t="s">
        <v>48</v>
      </c>
      <c r="I60" s="33">
        <v>2.0</v>
      </c>
      <c r="J60" s="33"/>
      <c r="K60" s="37">
        <v>1.0</v>
      </c>
      <c r="L60" s="36">
        <f t="shared" si="5"/>
        <v>1.36</v>
      </c>
      <c r="M60" s="36">
        <f t="shared" si="7"/>
        <v>1.4</v>
      </c>
    </row>
    <row r="61" ht="12.75" customHeight="1">
      <c r="A61" s="33" t="s">
        <v>48</v>
      </c>
      <c r="B61" s="34" t="s">
        <v>48</v>
      </c>
      <c r="C61" s="33" t="s">
        <v>48</v>
      </c>
      <c r="D61" s="33" t="s">
        <v>48</v>
      </c>
      <c r="E61" s="34" t="s">
        <v>48</v>
      </c>
      <c r="F61" s="33">
        <v>0.0</v>
      </c>
      <c r="G61" s="35" t="s">
        <v>95</v>
      </c>
      <c r="H61" s="34" t="s">
        <v>48</v>
      </c>
      <c r="I61" s="33"/>
      <c r="J61" s="33"/>
      <c r="K61" s="37"/>
      <c r="L61" s="36"/>
      <c r="M61" s="36"/>
    </row>
    <row r="62" ht="12.75" customHeight="1">
      <c r="A62" s="33" t="s">
        <v>48</v>
      </c>
      <c r="B62" s="34" t="s">
        <v>48</v>
      </c>
      <c r="C62" s="33" t="s">
        <v>48</v>
      </c>
      <c r="D62" s="33" t="s">
        <v>48</v>
      </c>
      <c r="E62" s="34" t="s">
        <v>48</v>
      </c>
      <c r="F62" s="33">
        <v>1.0</v>
      </c>
      <c r="G62" s="35" t="s">
        <v>96</v>
      </c>
      <c r="H62" s="34" t="s">
        <v>48</v>
      </c>
      <c r="I62" s="33"/>
      <c r="J62" s="33"/>
      <c r="K62" s="37"/>
      <c r="L62" s="36"/>
      <c r="M62" s="36"/>
    </row>
    <row r="63" ht="12.75" customHeight="1">
      <c r="A63" s="33" t="s">
        <v>48</v>
      </c>
      <c r="B63" s="34" t="s">
        <v>48</v>
      </c>
      <c r="C63" s="33" t="s">
        <v>48</v>
      </c>
      <c r="D63" s="33" t="s">
        <v>48</v>
      </c>
      <c r="E63" s="34" t="s">
        <v>48</v>
      </c>
      <c r="F63" s="33">
        <v>2.0</v>
      </c>
      <c r="G63" s="35" t="s">
        <v>97</v>
      </c>
      <c r="H63" s="34" t="s">
        <v>48</v>
      </c>
      <c r="I63" s="33"/>
      <c r="J63" s="33"/>
      <c r="K63" s="37"/>
      <c r="L63" s="36"/>
      <c r="M63" s="36"/>
    </row>
    <row r="64" ht="12.75" customHeight="1">
      <c r="A64" s="33" t="s">
        <v>48</v>
      </c>
      <c r="B64" s="34" t="s">
        <v>48</v>
      </c>
      <c r="C64" s="33" t="s">
        <v>48</v>
      </c>
      <c r="D64" s="33" t="s">
        <v>48</v>
      </c>
      <c r="E64" s="34" t="s">
        <v>48</v>
      </c>
      <c r="F64" s="33">
        <v>3.0</v>
      </c>
      <c r="G64" s="35" t="s">
        <v>98</v>
      </c>
      <c r="H64" s="34" t="s">
        <v>48</v>
      </c>
      <c r="I64" s="33"/>
      <c r="J64" s="33"/>
      <c r="K64" s="37"/>
      <c r="L64" s="36"/>
      <c r="M64" s="36"/>
    </row>
    <row r="65" ht="12.75" customHeight="1">
      <c r="A65" s="39" t="s">
        <v>99</v>
      </c>
      <c r="B65" s="40" t="s">
        <v>100</v>
      </c>
      <c r="C65" s="39" t="s">
        <v>47</v>
      </c>
      <c r="D65" s="40" t="s">
        <v>48</v>
      </c>
      <c r="E65" s="40" t="s">
        <v>48</v>
      </c>
      <c r="F65" s="40" t="s">
        <v>48</v>
      </c>
      <c r="G65" s="41" t="s">
        <v>48</v>
      </c>
      <c r="H65" s="40" t="s">
        <v>48</v>
      </c>
      <c r="I65" s="40" t="s">
        <v>48</v>
      </c>
      <c r="J65" s="40" t="s">
        <v>48</v>
      </c>
      <c r="K65" s="40" t="s">
        <v>48</v>
      </c>
      <c r="L65" s="42"/>
      <c r="M65" s="42"/>
    </row>
    <row r="66" ht="12.75" customHeight="1">
      <c r="A66" s="39" t="s">
        <v>48</v>
      </c>
      <c r="B66" s="40" t="s">
        <v>48</v>
      </c>
      <c r="C66" s="39" t="s">
        <v>48</v>
      </c>
      <c r="D66" s="39" t="s">
        <v>49</v>
      </c>
      <c r="E66" s="40" t="s">
        <v>101</v>
      </c>
      <c r="F66" s="39" t="s">
        <v>48</v>
      </c>
      <c r="G66" s="41" t="s">
        <v>102</v>
      </c>
      <c r="H66" s="40" t="s">
        <v>103</v>
      </c>
      <c r="I66" s="39">
        <v>1.0</v>
      </c>
      <c r="J66" s="39">
        <v>1.0</v>
      </c>
      <c r="K66" s="43">
        <v>0.2</v>
      </c>
      <c r="L66" s="42">
        <f t="shared" ref="L66:L68" si="8">K66/25*34</f>
        <v>0.272</v>
      </c>
      <c r="M66" s="42">
        <f t="shared" ref="M66:M68" si="9">IF(K66=0.2,0.25,IF(K66=0.6,0.8,IF(K66=0.3,0.4,IF(K66=0.1,0.15,IF(K66=0.4,0.6,IF(K66=0.7,1,IF(K66=0.25,0.4,IF(K66=0.5,0.6,IF(K66=1,1.4,IF(K66=0.55,0.75,999))))))))))</f>
        <v>0.25</v>
      </c>
    </row>
    <row r="67" ht="12.75" customHeight="1">
      <c r="A67" s="39" t="s">
        <v>48</v>
      </c>
      <c r="B67" s="40" t="s">
        <v>48</v>
      </c>
      <c r="C67" s="39" t="s">
        <v>48</v>
      </c>
      <c r="D67" s="39" t="s">
        <v>49</v>
      </c>
      <c r="E67" s="44" t="s">
        <v>104</v>
      </c>
      <c r="F67" s="39" t="s">
        <v>48</v>
      </c>
      <c r="G67" s="41" t="s">
        <v>105</v>
      </c>
      <c r="H67" s="40" t="s">
        <v>106</v>
      </c>
      <c r="I67" s="39">
        <v>3.0</v>
      </c>
      <c r="J67" s="39">
        <v>1.0</v>
      </c>
      <c r="K67" s="43">
        <v>0.2</v>
      </c>
      <c r="L67" s="42">
        <f t="shared" si="8"/>
        <v>0.272</v>
      </c>
      <c r="M67" s="42">
        <f t="shared" si="9"/>
        <v>0.25</v>
      </c>
    </row>
    <row r="68" ht="12.75" customHeight="1">
      <c r="A68" s="39" t="s">
        <v>48</v>
      </c>
      <c r="B68" s="40" t="s">
        <v>48</v>
      </c>
      <c r="C68" s="39" t="s">
        <v>48</v>
      </c>
      <c r="D68" s="39" t="s">
        <v>49</v>
      </c>
      <c r="E68" s="40" t="s">
        <v>107</v>
      </c>
      <c r="F68" s="39" t="s">
        <v>48</v>
      </c>
      <c r="G68" s="41" t="s">
        <v>108</v>
      </c>
      <c r="H68" s="40" t="s">
        <v>109</v>
      </c>
      <c r="I68" s="39">
        <v>5.0</v>
      </c>
      <c r="J68" s="39">
        <v>1.0</v>
      </c>
      <c r="K68" s="43">
        <v>0.2</v>
      </c>
      <c r="L68" s="42">
        <f t="shared" si="8"/>
        <v>0.272</v>
      </c>
      <c r="M68" s="42">
        <f t="shared" si="9"/>
        <v>0.25</v>
      </c>
    </row>
    <row r="69" ht="12.75" customHeight="1">
      <c r="A69" s="39" t="s">
        <v>48</v>
      </c>
      <c r="B69" s="40" t="s">
        <v>48</v>
      </c>
      <c r="C69" s="39" t="s">
        <v>48</v>
      </c>
      <c r="D69" s="39" t="s">
        <v>48</v>
      </c>
      <c r="E69" s="40" t="s">
        <v>48</v>
      </c>
      <c r="F69" s="39" t="s">
        <v>48</v>
      </c>
      <c r="G69" s="41" t="s">
        <v>110</v>
      </c>
      <c r="H69" s="40" t="s">
        <v>48</v>
      </c>
      <c r="I69" s="39"/>
      <c r="J69" s="39"/>
      <c r="K69" s="43"/>
      <c r="L69" s="42"/>
      <c r="M69" s="42"/>
    </row>
    <row r="70" ht="12.75" customHeight="1">
      <c r="A70" s="39" t="s">
        <v>48</v>
      </c>
      <c r="B70" s="40" t="s">
        <v>48</v>
      </c>
      <c r="C70" s="39" t="s">
        <v>48</v>
      </c>
      <c r="D70" s="39" t="s">
        <v>49</v>
      </c>
      <c r="E70" s="40" t="s">
        <v>111</v>
      </c>
      <c r="F70" s="39" t="s">
        <v>48</v>
      </c>
      <c r="G70" s="41" t="s">
        <v>112</v>
      </c>
      <c r="H70" s="40" t="s">
        <v>113</v>
      </c>
      <c r="I70" s="39">
        <v>5.0</v>
      </c>
      <c r="J70" s="39">
        <v>1.0</v>
      </c>
      <c r="K70" s="43">
        <v>0.2</v>
      </c>
      <c r="L70" s="42">
        <f t="shared" ref="L70:L78" si="10">K70/25*34</f>
        <v>0.272</v>
      </c>
      <c r="M70" s="42">
        <f t="shared" ref="M70:M78" si="11">IF(K70=0.2,0.25,IF(K70=0.6,0.8,IF(K70=0.3,0.4,IF(K70=0.1,0.15,IF(K70=0.4,0.6,IF(K70=0.7,1,IF(K70=0.25,0.4,IF(K70=0.5,0.6,IF(K70=1,1.4,IF(K70=0.55,0.75,999))))))))))</f>
        <v>0.25</v>
      </c>
    </row>
    <row r="71" ht="12.75" customHeight="1">
      <c r="A71" s="39" t="s">
        <v>48</v>
      </c>
      <c r="B71" s="40" t="s">
        <v>48</v>
      </c>
      <c r="C71" s="39" t="s">
        <v>48</v>
      </c>
      <c r="D71" s="39" t="s">
        <v>49</v>
      </c>
      <c r="E71" s="40" t="s">
        <v>114</v>
      </c>
      <c r="F71" s="39" t="s">
        <v>48</v>
      </c>
      <c r="G71" s="41" t="s">
        <v>115</v>
      </c>
      <c r="H71" s="40" t="s">
        <v>116</v>
      </c>
      <c r="I71" s="39">
        <v>3.0</v>
      </c>
      <c r="J71" s="39">
        <v>1.0</v>
      </c>
      <c r="K71" s="43">
        <v>0.3</v>
      </c>
      <c r="L71" s="42">
        <f t="shared" si="10"/>
        <v>0.408</v>
      </c>
      <c r="M71" s="42">
        <f t="shared" si="11"/>
        <v>0.4</v>
      </c>
    </row>
    <row r="72" ht="12.75" customHeight="1">
      <c r="A72" s="39" t="s">
        <v>48</v>
      </c>
      <c r="B72" s="40" t="s">
        <v>48</v>
      </c>
      <c r="C72" s="39" t="s">
        <v>48</v>
      </c>
      <c r="D72" s="39" t="s">
        <v>49</v>
      </c>
      <c r="E72" s="40" t="s">
        <v>117</v>
      </c>
      <c r="F72" s="39" t="s">
        <v>48</v>
      </c>
      <c r="G72" s="41" t="s">
        <v>118</v>
      </c>
      <c r="H72" s="40" t="s">
        <v>48</v>
      </c>
      <c r="I72" s="39">
        <v>4.0</v>
      </c>
      <c r="J72" s="39">
        <v>1.0</v>
      </c>
      <c r="K72" s="43">
        <v>0.55</v>
      </c>
      <c r="L72" s="42">
        <f t="shared" si="10"/>
        <v>0.748</v>
      </c>
      <c r="M72" s="42">
        <f t="shared" si="11"/>
        <v>0.75</v>
      </c>
    </row>
    <row r="73" ht="12.75" customHeight="1">
      <c r="A73" s="39" t="s">
        <v>48</v>
      </c>
      <c r="B73" s="40" t="s">
        <v>48</v>
      </c>
      <c r="C73" s="39" t="s">
        <v>48</v>
      </c>
      <c r="D73" s="39" t="s">
        <v>49</v>
      </c>
      <c r="E73" s="40" t="s">
        <v>119</v>
      </c>
      <c r="F73" s="39" t="s">
        <v>48</v>
      </c>
      <c r="G73" s="41" t="s">
        <v>120</v>
      </c>
      <c r="H73" s="40" t="s">
        <v>121</v>
      </c>
      <c r="I73" s="39">
        <v>3.0</v>
      </c>
      <c r="J73" s="39">
        <v>1.0</v>
      </c>
      <c r="K73" s="43">
        <v>0.2</v>
      </c>
      <c r="L73" s="42">
        <f t="shared" si="10"/>
        <v>0.272</v>
      </c>
      <c r="M73" s="42">
        <f t="shared" si="11"/>
        <v>0.25</v>
      </c>
    </row>
    <row r="74" ht="12.75" customHeight="1">
      <c r="A74" s="39" t="s">
        <v>48</v>
      </c>
      <c r="B74" s="40" t="s">
        <v>48</v>
      </c>
      <c r="C74" s="39" t="s">
        <v>48</v>
      </c>
      <c r="D74" s="39" t="s">
        <v>49</v>
      </c>
      <c r="E74" s="40" t="s">
        <v>122</v>
      </c>
      <c r="F74" s="39" t="s">
        <v>48</v>
      </c>
      <c r="G74" s="41" t="s">
        <v>112</v>
      </c>
      <c r="H74" s="40" t="s">
        <v>113</v>
      </c>
      <c r="I74" s="39">
        <v>3.0</v>
      </c>
      <c r="J74" s="39">
        <v>1.0</v>
      </c>
      <c r="K74" s="43">
        <v>0.2</v>
      </c>
      <c r="L74" s="42">
        <f t="shared" si="10"/>
        <v>0.272</v>
      </c>
      <c r="M74" s="42">
        <f t="shared" si="11"/>
        <v>0.25</v>
      </c>
    </row>
    <row r="75" ht="12.75" customHeight="1">
      <c r="A75" s="39" t="s">
        <v>48</v>
      </c>
      <c r="B75" s="40" t="s">
        <v>48</v>
      </c>
      <c r="C75" s="39" t="s">
        <v>48</v>
      </c>
      <c r="D75" s="39" t="s">
        <v>49</v>
      </c>
      <c r="E75" s="40" t="s">
        <v>114</v>
      </c>
      <c r="F75" s="39" t="s">
        <v>48</v>
      </c>
      <c r="G75" s="41" t="s">
        <v>115</v>
      </c>
      <c r="H75" s="40" t="s">
        <v>123</v>
      </c>
      <c r="I75" s="39">
        <v>3.0</v>
      </c>
      <c r="J75" s="39">
        <v>1.0</v>
      </c>
      <c r="K75" s="43">
        <v>0.3</v>
      </c>
      <c r="L75" s="42">
        <f t="shared" si="10"/>
        <v>0.408</v>
      </c>
      <c r="M75" s="42">
        <f t="shared" si="11"/>
        <v>0.4</v>
      </c>
    </row>
    <row r="76" ht="12.75" customHeight="1">
      <c r="A76" s="39" t="s">
        <v>48</v>
      </c>
      <c r="B76" s="40" t="s">
        <v>48</v>
      </c>
      <c r="C76" s="39" t="s">
        <v>48</v>
      </c>
      <c r="D76" s="39" t="s">
        <v>49</v>
      </c>
      <c r="E76" s="40" t="s">
        <v>124</v>
      </c>
      <c r="F76" s="39" t="s">
        <v>48</v>
      </c>
      <c r="G76" s="41" t="s">
        <v>125</v>
      </c>
      <c r="H76" s="40" t="s">
        <v>126</v>
      </c>
      <c r="I76" s="39">
        <v>3.0</v>
      </c>
      <c r="J76" s="39">
        <v>1.0</v>
      </c>
      <c r="K76" s="43">
        <v>0.2</v>
      </c>
      <c r="L76" s="42">
        <f t="shared" si="10"/>
        <v>0.272</v>
      </c>
      <c r="M76" s="42">
        <f t="shared" si="11"/>
        <v>0.25</v>
      </c>
    </row>
    <row r="77" ht="32.25" customHeight="1">
      <c r="A77" s="39" t="s">
        <v>48</v>
      </c>
      <c r="B77" s="40" t="s">
        <v>48</v>
      </c>
      <c r="C77" s="39" t="s">
        <v>48</v>
      </c>
      <c r="D77" s="39" t="s">
        <v>49</v>
      </c>
      <c r="E77" s="40" t="s">
        <v>127</v>
      </c>
      <c r="F77" s="39" t="s">
        <v>48</v>
      </c>
      <c r="G77" s="41" t="s">
        <v>128</v>
      </c>
      <c r="H77" s="40" t="s">
        <v>129</v>
      </c>
      <c r="I77" s="39">
        <v>3.0</v>
      </c>
      <c r="J77" s="39">
        <v>1.0</v>
      </c>
      <c r="K77" s="43">
        <v>0.3</v>
      </c>
      <c r="L77" s="42">
        <f t="shared" si="10"/>
        <v>0.408</v>
      </c>
      <c r="M77" s="42">
        <f t="shared" si="11"/>
        <v>0.4</v>
      </c>
    </row>
    <row r="78" ht="12.75" customHeight="1">
      <c r="A78" s="39" t="s">
        <v>48</v>
      </c>
      <c r="B78" s="40" t="s">
        <v>48</v>
      </c>
      <c r="C78" s="39" t="s">
        <v>48</v>
      </c>
      <c r="D78" s="39" t="s">
        <v>49</v>
      </c>
      <c r="E78" s="40" t="s">
        <v>130</v>
      </c>
      <c r="F78" s="39" t="s">
        <v>48</v>
      </c>
      <c r="G78" s="45" t="s">
        <v>131</v>
      </c>
      <c r="H78" s="40" t="s">
        <v>132</v>
      </c>
      <c r="I78" s="39">
        <v>4.0</v>
      </c>
      <c r="J78" s="39">
        <v>1.0</v>
      </c>
      <c r="K78" s="43">
        <v>0.3</v>
      </c>
      <c r="L78" s="42">
        <f t="shared" si="10"/>
        <v>0.408</v>
      </c>
      <c r="M78" s="42">
        <f t="shared" si="11"/>
        <v>0.4</v>
      </c>
    </row>
    <row r="79" ht="12.75" customHeight="1">
      <c r="A79" s="39" t="s">
        <v>133</v>
      </c>
      <c r="B79" s="40" t="s">
        <v>134</v>
      </c>
      <c r="C79" s="39" t="s">
        <v>47</v>
      </c>
      <c r="D79" s="40" t="s">
        <v>48</v>
      </c>
      <c r="E79" s="40" t="s">
        <v>48</v>
      </c>
      <c r="F79" s="40" t="s">
        <v>48</v>
      </c>
      <c r="G79" s="41" t="s">
        <v>48</v>
      </c>
      <c r="H79" s="40" t="s">
        <v>48</v>
      </c>
      <c r="I79" s="40" t="s">
        <v>48</v>
      </c>
      <c r="J79" s="40" t="s">
        <v>48</v>
      </c>
      <c r="K79" s="40" t="s">
        <v>48</v>
      </c>
      <c r="L79" s="42"/>
      <c r="M79" s="42"/>
    </row>
    <row r="80" ht="12.75" customHeight="1">
      <c r="A80" s="39" t="s">
        <v>48</v>
      </c>
      <c r="B80" s="40" t="s">
        <v>48</v>
      </c>
      <c r="C80" s="39" t="s">
        <v>48</v>
      </c>
      <c r="D80" s="39" t="s">
        <v>49</v>
      </c>
      <c r="E80" s="40" t="s">
        <v>135</v>
      </c>
      <c r="F80" s="39" t="s">
        <v>48</v>
      </c>
      <c r="G80" s="41" t="s">
        <v>136</v>
      </c>
      <c r="H80" s="40" t="s">
        <v>137</v>
      </c>
      <c r="I80" s="39">
        <v>3.0</v>
      </c>
      <c r="J80" s="39">
        <v>1.0</v>
      </c>
      <c r="K80" s="43">
        <v>0.4</v>
      </c>
      <c r="L80" s="42">
        <f t="shared" ref="L80:L84" si="12">K80/25*34</f>
        <v>0.544</v>
      </c>
      <c r="M80" s="42">
        <f t="shared" ref="M80:M84" si="13">IF(K80=0.2,0.25,IF(K80=0.6,0.8,IF(K80=0.3,0.4,IF(K80=0.1,0.15,IF(K80=0.4,0.6,IF(K80=0.7,1,IF(K80=0.25,0.4,IF(K80=0.5,0.6,IF(K80=1,1.4,IF(K80=0.55,0.75,999))))))))))</f>
        <v>0.6</v>
      </c>
    </row>
    <row r="81" ht="12.75" customHeight="1">
      <c r="A81" s="39" t="s">
        <v>48</v>
      </c>
      <c r="B81" s="40" t="s">
        <v>48</v>
      </c>
      <c r="C81" s="39" t="s">
        <v>48</v>
      </c>
      <c r="D81" s="39" t="s">
        <v>49</v>
      </c>
      <c r="E81" s="40" t="s">
        <v>138</v>
      </c>
      <c r="F81" s="39" t="s">
        <v>48</v>
      </c>
      <c r="G81" s="41" t="s">
        <v>139</v>
      </c>
      <c r="H81" s="44" t="s">
        <v>140</v>
      </c>
      <c r="I81" s="39">
        <v>4.0</v>
      </c>
      <c r="J81" s="39">
        <v>1.0</v>
      </c>
      <c r="K81" s="43">
        <v>0.3</v>
      </c>
      <c r="L81" s="42">
        <f t="shared" si="12"/>
        <v>0.408</v>
      </c>
      <c r="M81" s="42">
        <f t="shared" si="13"/>
        <v>0.4</v>
      </c>
    </row>
    <row r="82" ht="12.75" customHeight="1">
      <c r="A82" s="39" t="s">
        <v>48</v>
      </c>
      <c r="B82" s="40" t="s">
        <v>48</v>
      </c>
      <c r="C82" s="39" t="s">
        <v>48</v>
      </c>
      <c r="D82" s="39" t="s">
        <v>49</v>
      </c>
      <c r="E82" s="40" t="s">
        <v>141</v>
      </c>
      <c r="F82" s="39" t="s">
        <v>48</v>
      </c>
      <c r="G82" s="41" t="s">
        <v>142</v>
      </c>
      <c r="H82" s="40" t="s">
        <v>143</v>
      </c>
      <c r="I82" s="39">
        <v>3.0</v>
      </c>
      <c r="J82" s="39">
        <v>1.0</v>
      </c>
      <c r="K82" s="43">
        <v>0.2</v>
      </c>
      <c r="L82" s="42">
        <f t="shared" si="12"/>
        <v>0.272</v>
      </c>
      <c r="M82" s="42">
        <f t="shared" si="13"/>
        <v>0.25</v>
      </c>
    </row>
    <row r="83" ht="12.75" customHeight="1">
      <c r="A83" s="39" t="s">
        <v>48</v>
      </c>
      <c r="B83" s="40" t="s">
        <v>48</v>
      </c>
      <c r="C83" s="39" t="s">
        <v>48</v>
      </c>
      <c r="D83" s="39" t="s">
        <v>49</v>
      </c>
      <c r="E83" s="40" t="s">
        <v>144</v>
      </c>
      <c r="F83" s="39" t="s">
        <v>48</v>
      </c>
      <c r="G83" s="41" t="s">
        <v>145</v>
      </c>
      <c r="H83" s="40" t="s">
        <v>146</v>
      </c>
      <c r="I83" s="39">
        <v>2.0</v>
      </c>
      <c r="J83" s="39">
        <v>1.0</v>
      </c>
      <c r="K83" s="43">
        <v>0.2</v>
      </c>
      <c r="L83" s="42">
        <f t="shared" si="12"/>
        <v>0.272</v>
      </c>
      <c r="M83" s="42">
        <f t="shared" si="13"/>
        <v>0.25</v>
      </c>
    </row>
    <row r="84" ht="12.75" customHeight="1">
      <c r="A84" s="39" t="s">
        <v>48</v>
      </c>
      <c r="B84" s="40" t="s">
        <v>48</v>
      </c>
      <c r="C84" s="39" t="s">
        <v>48</v>
      </c>
      <c r="D84" s="39" t="s">
        <v>53</v>
      </c>
      <c r="E84" s="41" t="s">
        <v>147</v>
      </c>
      <c r="F84" s="39" t="s">
        <v>48</v>
      </c>
      <c r="G84" s="41" t="s">
        <v>48</v>
      </c>
      <c r="H84" s="40" t="s">
        <v>48</v>
      </c>
      <c r="I84" s="39">
        <v>2.0</v>
      </c>
      <c r="J84" s="39"/>
      <c r="K84" s="43">
        <v>0.7</v>
      </c>
      <c r="L84" s="42">
        <f t="shared" si="12"/>
        <v>0.952</v>
      </c>
      <c r="M84" s="42">
        <f t="shared" si="13"/>
        <v>1</v>
      </c>
    </row>
    <row r="85" ht="12.75" customHeight="1">
      <c r="A85" s="39" t="s">
        <v>48</v>
      </c>
      <c r="B85" s="40" t="s">
        <v>48</v>
      </c>
      <c r="C85" s="39" t="s">
        <v>48</v>
      </c>
      <c r="D85" s="39" t="s">
        <v>48</v>
      </c>
      <c r="E85" s="40" t="s">
        <v>48</v>
      </c>
      <c r="F85" s="39">
        <v>0.0</v>
      </c>
      <c r="G85" s="41" t="s">
        <v>148</v>
      </c>
      <c r="H85" s="40" t="s">
        <v>48</v>
      </c>
      <c r="I85" s="39"/>
      <c r="J85" s="39"/>
      <c r="K85" s="43"/>
      <c r="L85" s="42"/>
      <c r="M85" s="42"/>
    </row>
    <row r="86" ht="12.75" customHeight="1">
      <c r="A86" s="39" t="s">
        <v>48</v>
      </c>
      <c r="B86" s="40" t="s">
        <v>48</v>
      </c>
      <c r="C86" s="39" t="s">
        <v>48</v>
      </c>
      <c r="D86" s="39" t="s">
        <v>48</v>
      </c>
      <c r="E86" s="40" t="s">
        <v>48</v>
      </c>
      <c r="F86" s="39">
        <v>1.0</v>
      </c>
      <c r="G86" s="41" t="s">
        <v>149</v>
      </c>
      <c r="H86" s="40" t="s">
        <v>48</v>
      </c>
      <c r="I86" s="39"/>
      <c r="J86" s="39"/>
      <c r="K86" s="43"/>
      <c r="L86" s="42"/>
      <c r="M86" s="42"/>
    </row>
    <row r="87" ht="12.75" customHeight="1">
      <c r="A87" s="39" t="s">
        <v>48</v>
      </c>
      <c r="B87" s="40" t="s">
        <v>48</v>
      </c>
      <c r="C87" s="39" t="s">
        <v>48</v>
      </c>
      <c r="D87" s="39" t="s">
        <v>48</v>
      </c>
      <c r="E87" s="40" t="s">
        <v>48</v>
      </c>
      <c r="F87" s="39">
        <v>2.0</v>
      </c>
      <c r="G87" s="41" t="s">
        <v>150</v>
      </c>
      <c r="H87" s="40" t="s">
        <v>48</v>
      </c>
      <c r="I87" s="39"/>
      <c r="J87" s="39"/>
      <c r="K87" s="43"/>
      <c r="L87" s="42"/>
      <c r="M87" s="42"/>
    </row>
    <row r="88" ht="12.75" customHeight="1">
      <c r="A88" s="39" t="s">
        <v>48</v>
      </c>
      <c r="B88" s="40" t="s">
        <v>48</v>
      </c>
      <c r="C88" s="39" t="s">
        <v>48</v>
      </c>
      <c r="D88" s="39" t="s">
        <v>48</v>
      </c>
      <c r="E88" s="40" t="s">
        <v>48</v>
      </c>
      <c r="F88" s="39">
        <v>3.0</v>
      </c>
      <c r="G88" s="41" t="s">
        <v>151</v>
      </c>
      <c r="H88" s="40" t="s">
        <v>48</v>
      </c>
      <c r="I88" s="39"/>
      <c r="J88" s="39"/>
      <c r="K88" s="43"/>
      <c r="L88" s="42"/>
      <c r="M88" s="42"/>
    </row>
    <row r="89" ht="12.75" customHeight="1">
      <c r="A89" s="39" t="s">
        <v>48</v>
      </c>
      <c r="B89" s="40" t="s">
        <v>48</v>
      </c>
      <c r="C89" s="39" t="s">
        <v>48</v>
      </c>
      <c r="D89" s="39" t="s">
        <v>53</v>
      </c>
      <c r="E89" s="41" t="s">
        <v>152</v>
      </c>
      <c r="F89" s="39" t="s">
        <v>48</v>
      </c>
      <c r="G89" s="41" t="s">
        <v>48</v>
      </c>
      <c r="H89" s="40" t="s">
        <v>48</v>
      </c>
      <c r="I89" s="39">
        <v>2.0</v>
      </c>
      <c r="J89" s="39"/>
      <c r="K89" s="43">
        <v>0.5</v>
      </c>
      <c r="L89" s="42">
        <f>K89/25*34</f>
        <v>0.68</v>
      </c>
      <c r="M89" s="42">
        <f>IF(K89=0.2,0.25,IF(K89=0.6,0.8,IF(K89=0.3,0.4,IF(K89=0.1,0.15,IF(K89=0.4,0.6,IF(K89=0.7,1,IF(K89=0.25,0.4,IF(K89=0.5,0.7,IF(K89=1,1.4,IF(K89=0.55,0.75,999))))))))))</f>
        <v>0.7</v>
      </c>
    </row>
    <row r="90" ht="12.75" customHeight="1">
      <c r="A90" s="39" t="s">
        <v>48</v>
      </c>
      <c r="B90" s="40" t="s">
        <v>48</v>
      </c>
      <c r="C90" s="39" t="s">
        <v>48</v>
      </c>
      <c r="D90" s="39" t="s">
        <v>48</v>
      </c>
      <c r="E90" s="40" t="s">
        <v>48</v>
      </c>
      <c r="F90" s="39">
        <v>0.0</v>
      </c>
      <c r="G90" s="41" t="s">
        <v>153</v>
      </c>
      <c r="H90" s="40" t="s">
        <v>48</v>
      </c>
      <c r="I90" s="39"/>
      <c r="J90" s="39"/>
      <c r="K90" s="43"/>
      <c r="L90" s="42"/>
      <c r="M90" s="42"/>
    </row>
    <row r="91" ht="12.75" customHeight="1">
      <c r="A91" s="39" t="s">
        <v>48</v>
      </c>
      <c r="B91" s="40" t="s">
        <v>48</v>
      </c>
      <c r="C91" s="39" t="s">
        <v>48</v>
      </c>
      <c r="D91" s="39" t="s">
        <v>48</v>
      </c>
      <c r="E91" s="40" t="s">
        <v>48</v>
      </c>
      <c r="F91" s="39">
        <v>1.0</v>
      </c>
      <c r="G91" s="41" t="s">
        <v>154</v>
      </c>
      <c r="H91" s="40" t="s">
        <v>48</v>
      </c>
      <c r="I91" s="39"/>
      <c r="J91" s="39"/>
      <c r="K91" s="43"/>
      <c r="L91" s="42"/>
      <c r="M91" s="42"/>
    </row>
    <row r="92" ht="12.75" customHeight="1">
      <c r="A92" s="39" t="s">
        <v>48</v>
      </c>
      <c r="B92" s="40" t="s">
        <v>48</v>
      </c>
      <c r="C92" s="39" t="s">
        <v>48</v>
      </c>
      <c r="D92" s="39" t="s">
        <v>48</v>
      </c>
      <c r="E92" s="40" t="s">
        <v>48</v>
      </c>
      <c r="F92" s="39">
        <v>2.0</v>
      </c>
      <c r="G92" s="41" t="s">
        <v>155</v>
      </c>
      <c r="H92" s="40" t="s">
        <v>48</v>
      </c>
      <c r="I92" s="39"/>
      <c r="J92" s="39"/>
      <c r="K92" s="43"/>
      <c r="L92" s="42"/>
      <c r="M92" s="42"/>
    </row>
    <row r="93" ht="12.75" customHeight="1">
      <c r="A93" s="39" t="s">
        <v>48</v>
      </c>
      <c r="B93" s="40" t="s">
        <v>48</v>
      </c>
      <c r="C93" s="39" t="s">
        <v>48</v>
      </c>
      <c r="D93" s="39" t="s">
        <v>48</v>
      </c>
      <c r="E93" s="40" t="s">
        <v>48</v>
      </c>
      <c r="F93" s="39">
        <v>3.0</v>
      </c>
      <c r="G93" s="41" t="s">
        <v>156</v>
      </c>
      <c r="H93" s="40" t="s">
        <v>48</v>
      </c>
      <c r="I93" s="39"/>
      <c r="J93" s="39"/>
      <c r="K93" s="43"/>
      <c r="L93" s="42"/>
      <c r="M93" s="42"/>
    </row>
    <row r="94" ht="12.75" customHeight="1">
      <c r="A94" s="9" t="s">
        <v>157</v>
      </c>
      <c r="B94" s="46" t="s">
        <v>158</v>
      </c>
      <c r="C94" s="9" t="s">
        <v>47</v>
      </c>
      <c r="D94" s="46" t="s">
        <v>48</v>
      </c>
      <c r="E94" s="46" t="s">
        <v>48</v>
      </c>
      <c r="F94" s="46" t="s">
        <v>48</v>
      </c>
      <c r="G94" s="47" t="s">
        <v>48</v>
      </c>
      <c r="H94" s="46" t="s">
        <v>48</v>
      </c>
      <c r="I94" s="46" t="s">
        <v>48</v>
      </c>
      <c r="J94" s="46" t="s">
        <v>48</v>
      </c>
      <c r="K94" s="46" t="s">
        <v>48</v>
      </c>
    </row>
    <row r="95" ht="12.75" customHeight="1">
      <c r="A95" s="9" t="s">
        <v>48</v>
      </c>
      <c r="B95" s="46" t="s">
        <v>48</v>
      </c>
      <c r="C95" s="9" t="s">
        <v>48</v>
      </c>
      <c r="D95" s="9" t="s">
        <v>49</v>
      </c>
      <c r="E95" s="46" t="s">
        <v>159</v>
      </c>
      <c r="F95" s="9" t="s">
        <v>48</v>
      </c>
      <c r="G95" s="47" t="s">
        <v>160</v>
      </c>
      <c r="H95" s="46" t="s">
        <v>161</v>
      </c>
      <c r="I95" s="9">
        <v>4.0</v>
      </c>
      <c r="J95" s="9">
        <v>1.0</v>
      </c>
      <c r="K95" s="12">
        <v>0.2</v>
      </c>
      <c r="L95" s="48">
        <f>K95/25*34</f>
        <v>0.272</v>
      </c>
      <c r="M95" s="48">
        <f>IF(K95=0.2,0.25,IF(K95=0.6,0.8,IF(K95=0.3,0.4,IF(K95=0.1,0.15,IF(K95=0.4,0.6,IF(K95=0.7,1,IF(K95=0.25,0.4,IF(K95=0.5,0.6,IF(K95=1,1.4,IF(K95=0.55,0.75,999))))))))))</f>
        <v>0.25</v>
      </c>
    </row>
    <row r="96" ht="12.75" customHeight="1">
      <c r="A96" s="9" t="s">
        <v>162</v>
      </c>
      <c r="B96" s="46" t="s">
        <v>163</v>
      </c>
      <c r="C96" s="9" t="s">
        <v>47</v>
      </c>
      <c r="D96" s="46" t="s">
        <v>48</v>
      </c>
      <c r="E96" s="46" t="s">
        <v>48</v>
      </c>
      <c r="F96" s="46" t="s">
        <v>48</v>
      </c>
      <c r="G96" s="47" t="s">
        <v>48</v>
      </c>
      <c r="H96" s="46" t="s">
        <v>48</v>
      </c>
      <c r="I96" s="46" t="s">
        <v>48</v>
      </c>
      <c r="J96" s="46" t="s">
        <v>48</v>
      </c>
      <c r="K96" s="46" t="s">
        <v>48</v>
      </c>
    </row>
    <row r="97" ht="12.75" customHeight="1">
      <c r="A97" s="9" t="s">
        <v>48</v>
      </c>
      <c r="B97" s="46" t="s">
        <v>48</v>
      </c>
      <c r="C97" s="9" t="s">
        <v>48</v>
      </c>
      <c r="D97" s="9" t="s">
        <v>49</v>
      </c>
      <c r="E97" s="46" t="s">
        <v>164</v>
      </c>
      <c r="F97" s="9" t="s">
        <v>48</v>
      </c>
      <c r="G97" s="49" t="s">
        <v>165</v>
      </c>
      <c r="H97" s="46" t="s">
        <v>166</v>
      </c>
      <c r="I97" s="9">
        <v>5.0</v>
      </c>
      <c r="J97" s="9">
        <v>1.0</v>
      </c>
      <c r="K97" s="12">
        <v>0.3</v>
      </c>
      <c r="L97" s="48">
        <f t="shared" ref="L97:L107" si="14">K97/25*34</f>
        <v>0.408</v>
      </c>
      <c r="M97" s="48">
        <f t="shared" ref="M97:M103" si="15">IF(K97=0.2,0.25,IF(K97=0.6,0.8,IF(K97=0.3,0.4,IF(K97=0.1,0.15,IF(K97=0.4,0.6,IF(K97=0.7,1,IF(K97=0.25,0.4,IF(K97=0.5,0.6,IF(K97=1,1.4,IF(K97=0.55,0.75,999))))))))))</f>
        <v>0.4</v>
      </c>
    </row>
    <row r="98" ht="12.75" customHeight="1">
      <c r="A98" s="9" t="s">
        <v>48</v>
      </c>
      <c r="B98" s="46" t="s">
        <v>48</v>
      </c>
      <c r="C98" s="9" t="s">
        <v>48</v>
      </c>
      <c r="D98" s="9" t="s">
        <v>49</v>
      </c>
      <c r="E98" s="46" t="s">
        <v>167</v>
      </c>
      <c r="F98" s="9" t="s">
        <v>48</v>
      </c>
      <c r="G98" s="49" t="s">
        <v>168</v>
      </c>
      <c r="H98" s="46" t="s">
        <v>169</v>
      </c>
      <c r="I98" s="9">
        <v>5.0</v>
      </c>
      <c r="J98" s="9">
        <v>1.0</v>
      </c>
      <c r="K98" s="12">
        <v>0.3</v>
      </c>
      <c r="L98" s="48">
        <f t="shared" si="14"/>
        <v>0.408</v>
      </c>
      <c r="M98" s="48">
        <f t="shared" si="15"/>
        <v>0.4</v>
      </c>
    </row>
    <row r="99" ht="12.75" customHeight="1">
      <c r="A99" s="9" t="s">
        <v>48</v>
      </c>
      <c r="B99" s="46" t="s">
        <v>48</v>
      </c>
      <c r="C99" s="9" t="s">
        <v>48</v>
      </c>
      <c r="D99" s="9" t="s">
        <v>49</v>
      </c>
      <c r="E99" s="46" t="s">
        <v>170</v>
      </c>
      <c r="F99" s="9" t="s">
        <v>48</v>
      </c>
      <c r="G99" s="47" t="s">
        <v>171</v>
      </c>
      <c r="H99" s="46" t="s">
        <v>172</v>
      </c>
      <c r="I99" s="9">
        <v>5.0</v>
      </c>
      <c r="J99" s="9">
        <v>1.0</v>
      </c>
      <c r="K99" s="12">
        <v>0.2</v>
      </c>
      <c r="L99" s="48">
        <f t="shared" si="14"/>
        <v>0.272</v>
      </c>
      <c r="M99" s="48">
        <f t="shared" si="15"/>
        <v>0.25</v>
      </c>
    </row>
    <row r="100" ht="12.75" customHeight="1">
      <c r="A100" s="9" t="s">
        <v>48</v>
      </c>
      <c r="B100" s="46" t="s">
        <v>48</v>
      </c>
      <c r="C100" s="9" t="s">
        <v>48</v>
      </c>
      <c r="D100" s="9" t="s">
        <v>49</v>
      </c>
      <c r="E100" s="46" t="s">
        <v>173</v>
      </c>
      <c r="F100" s="9" t="s">
        <v>48</v>
      </c>
      <c r="G100" s="50" t="s">
        <v>174</v>
      </c>
      <c r="H100" s="46" t="s">
        <v>175</v>
      </c>
      <c r="I100" s="9">
        <v>3.0</v>
      </c>
      <c r="J100" s="9">
        <v>1.0</v>
      </c>
      <c r="K100" s="12">
        <v>0.4</v>
      </c>
      <c r="L100" s="48">
        <f t="shared" si="14"/>
        <v>0.544</v>
      </c>
      <c r="M100" s="48">
        <f t="shared" si="15"/>
        <v>0.6</v>
      </c>
    </row>
    <row r="101" ht="12.75" customHeight="1">
      <c r="A101" s="9" t="s">
        <v>48</v>
      </c>
      <c r="B101" s="46" t="s">
        <v>48</v>
      </c>
      <c r="C101" s="9" t="s">
        <v>48</v>
      </c>
      <c r="D101" s="9" t="s">
        <v>49</v>
      </c>
      <c r="E101" s="46" t="s">
        <v>176</v>
      </c>
      <c r="F101" s="9" t="s">
        <v>48</v>
      </c>
      <c r="G101" s="47" t="s">
        <v>177</v>
      </c>
      <c r="H101" s="46" t="s">
        <v>178</v>
      </c>
      <c r="I101" s="9">
        <v>3.0</v>
      </c>
      <c r="J101" s="9">
        <v>1.0</v>
      </c>
      <c r="K101" s="12">
        <v>0.3</v>
      </c>
      <c r="L101" s="48">
        <f t="shared" si="14"/>
        <v>0.408</v>
      </c>
      <c r="M101" s="48">
        <f t="shared" si="15"/>
        <v>0.4</v>
      </c>
    </row>
    <row r="102" ht="12.75" customHeight="1">
      <c r="A102" s="9" t="s">
        <v>48</v>
      </c>
      <c r="B102" s="46" t="s">
        <v>48</v>
      </c>
      <c r="C102" s="9" t="s">
        <v>48</v>
      </c>
      <c r="D102" s="9" t="s">
        <v>49</v>
      </c>
      <c r="E102" s="46" t="s">
        <v>179</v>
      </c>
      <c r="F102" s="9" t="s">
        <v>48</v>
      </c>
      <c r="G102" s="51" t="s">
        <v>180</v>
      </c>
      <c r="H102" s="46" t="s">
        <v>181</v>
      </c>
      <c r="I102" s="9">
        <v>1.0</v>
      </c>
      <c r="J102" s="9">
        <v>1.0</v>
      </c>
      <c r="K102" s="12">
        <v>0.3</v>
      </c>
      <c r="L102" s="48">
        <f t="shared" si="14"/>
        <v>0.408</v>
      </c>
      <c r="M102" s="48">
        <f t="shared" si="15"/>
        <v>0.4</v>
      </c>
    </row>
    <row r="103" ht="12.75" customHeight="1">
      <c r="A103" s="9" t="s">
        <v>48</v>
      </c>
      <c r="B103" s="46" t="s">
        <v>48</v>
      </c>
      <c r="C103" s="9" t="s">
        <v>48</v>
      </c>
      <c r="D103" s="9" t="s">
        <v>49</v>
      </c>
      <c r="E103" s="46" t="s">
        <v>182</v>
      </c>
      <c r="F103" s="9" t="s">
        <v>48</v>
      </c>
      <c r="G103" s="47" t="s">
        <v>183</v>
      </c>
      <c r="H103" s="46" t="s">
        <v>184</v>
      </c>
      <c r="I103" s="9">
        <v>1.0</v>
      </c>
      <c r="J103" s="9">
        <v>1.0</v>
      </c>
      <c r="K103" s="12">
        <v>0.4</v>
      </c>
      <c r="L103" s="48">
        <f t="shared" si="14"/>
        <v>0.544</v>
      </c>
      <c r="M103" s="48">
        <f t="shared" si="15"/>
        <v>0.6</v>
      </c>
    </row>
    <row r="104" ht="12.75" customHeight="1">
      <c r="A104" s="9" t="s">
        <v>48</v>
      </c>
      <c r="B104" s="46" t="s">
        <v>48</v>
      </c>
      <c r="C104" s="9" t="s">
        <v>48</v>
      </c>
      <c r="D104" s="9" t="s">
        <v>49</v>
      </c>
      <c r="E104" s="46" t="s">
        <v>185</v>
      </c>
      <c r="F104" s="9" t="s">
        <v>48</v>
      </c>
      <c r="G104" s="51" t="s">
        <v>186</v>
      </c>
      <c r="H104" s="46" t="s">
        <v>187</v>
      </c>
      <c r="I104" s="9">
        <v>6.0</v>
      </c>
      <c r="J104" s="9">
        <v>1.0</v>
      </c>
      <c r="K104" s="12">
        <v>0.5</v>
      </c>
      <c r="L104" s="48">
        <f t="shared" si="14"/>
        <v>0.68</v>
      </c>
      <c r="M104" s="48">
        <f t="shared" ref="M104:M105" si="16">IF(K104=0.2,0.25,IF(K104=0.6,0.8,IF(K104=0.3,0.4,IF(K104=0.1,0.15,IF(K104=0.4,0.6,IF(K104=0.7,1,IF(K104=0.25,0.4,IF(K104=0.5,0.7,IF(K104=1,1.4,IF(K104=0.55,0.75,999))))))))))</f>
        <v>0.7</v>
      </c>
    </row>
    <row r="105" ht="12.75" customHeight="1">
      <c r="A105" s="9" t="s">
        <v>48</v>
      </c>
      <c r="B105" s="46" t="s">
        <v>48</v>
      </c>
      <c r="C105" s="9" t="s">
        <v>48</v>
      </c>
      <c r="D105" s="9" t="s">
        <v>49</v>
      </c>
      <c r="E105" s="46" t="s">
        <v>188</v>
      </c>
      <c r="F105" s="9" t="s">
        <v>48</v>
      </c>
      <c r="G105" s="47" t="s">
        <v>189</v>
      </c>
      <c r="H105" s="46" t="s">
        <v>190</v>
      </c>
      <c r="I105" s="9">
        <v>6.0</v>
      </c>
      <c r="J105" s="9">
        <v>1.0</v>
      </c>
      <c r="K105" s="12">
        <v>0.5</v>
      </c>
      <c r="L105" s="48">
        <f t="shared" si="14"/>
        <v>0.68</v>
      </c>
      <c r="M105" s="48">
        <f t="shared" si="16"/>
        <v>0.7</v>
      </c>
    </row>
    <row r="106" ht="12.75" customHeight="1">
      <c r="A106" s="9" t="s">
        <v>48</v>
      </c>
      <c r="B106" s="46" t="s">
        <v>48</v>
      </c>
      <c r="C106" s="9" t="s">
        <v>48</v>
      </c>
      <c r="D106" s="9" t="s">
        <v>49</v>
      </c>
      <c r="E106" s="46" t="s">
        <v>191</v>
      </c>
      <c r="F106" s="9" t="s">
        <v>48</v>
      </c>
      <c r="G106" s="47" t="s">
        <v>192</v>
      </c>
      <c r="H106" s="46" t="s">
        <v>193</v>
      </c>
      <c r="I106" s="9">
        <v>6.0</v>
      </c>
      <c r="J106" s="9">
        <v>1.0</v>
      </c>
      <c r="K106" s="12">
        <v>0.3</v>
      </c>
      <c r="L106" s="48">
        <f t="shared" si="14"/>
        <v>0.408</v>
      </c>
      <c r="M106" s="48">
        <f t="shared" ref="M106:M107" si="17">IF(K106=0.2,0.25,IF(K106=0.6,0.8,IF(K106=0.3,0.4,IF(K106=0.1,0.15,IF(K106=0.4,0.6,IF(K106=0.7,1,IF(K106=0.25,0.4,IF(K106=0.5,0.6,IF(K106=1,1.4,IF(K106=0.55,0.75,999))))))))))</f>
        <v>0.4</v>
      </c>
    </row>
    <row r="107" ht="12.75" customHeight="1">
      <c r="A107" s="9" t="s">
        <v>48</v>
      </c>
      <c r="B107" s="46" t="s">
        <v>48</v>
      </c>
      <c r="C107" s="9" t="s">
        <v>48</v>
      </c>
      <c r="D107" s="9" t="s">
        <v>53</v>
      </c>
      <c r="E107" s="46" t="s">
        <v>194</v>
      </c>
      <c r="F107" s="9" t="s">
        <v>48</v>
      </c>
      <c r="G107" s="47" t="s">
        <v>48</v>
      </c>
      <c r="H107" s="46" t="s">
        <v>48</v>
      </c>
      <c r="I107" s="9">
        <v>2.0</v>
      </c>
      <c r="J107" s="9"/>
      <c r="K107" s="12">
        <v>0.6</v>
      </c>
      <c r="L107" s="48">
        <f t="shared" si="14"/>
        <v>0.816</v>
      </c>
      <c r="M107" s="48">
        <f t="shared" si="17"/>
        <v>0.8</v>
      </c>
    </row>
    <row r="108" ht="12.75" customHeight="1">
      <c r="A108" s="9" t="s">
        <v>48</v>
      </c>
      <c r="B108" s="46" t="s">
        <v>48</v>
      </c>
      <c r="C108" s="9" t="s">
        <v>48</v>
      </c>
      <c r="D108" s="9" t="s">
        <v>48</v>
      </c>
      <c r="E108" s="46" t="s">
        <v>48</v>
      </c>
      <c r="F108" s="9">
        <v>0.0</v>
      </c>
      <c r="G108" s="47" t="s">
        <v>55</v>
      </c>
      <c r="H108" s="46" t="s">
        <v>48</v>
      </c>
      <c r="I108" s="9"/>
      <c r="J108" s="9"/>
      <c r="K108" s="12"/>
    </row>
    <row r="109" ht="12.75" customHeight="1">
      <c r="A109" s="9" t="s">
        <v>48</v>
      </c>
      <c r="B109" s="46" t="s">
        <v>48</v>
      </c>
      <c r="C109" s="9" t="s">
        <v>48</v>
      </c>
      <c r="D109" s="9" t="s">
        <v>48</v>
      </c>
      <c r="E109" s="46" t="s">
        <v>48</v>
      </c>
      <c r="F109" s="9">
        <v>1.0</v>
      </c>
      <c r="G109" s="47" t="s">
        <v>195</v>
      </c>
      <c r="H109" s="46" t="s">
        <v>48</v>
      </c>
      <c r="I109" s="9"/>
      <c r="J109" s="9"/>
      <c r="K109" s="12"/>
    </row>
    <row r="110" ht="12.75" customHeight="1">
      <c r="A110" s="9" t="s">
        <v>48</v>
      </c>
      <c r="B110" s="46" t="s">
        <v>48</v>
      </c>
      <c r="C110" s="9" t="s">
        <v>48</v>
      </c>
      <c r="D110" s="9" t="s">
        <v>48</v>
      </c>
      <c r="E110" s="46" t="s">
        <v>48</v>
      </c>
      <c r="F110" s="9">
        <v>2.0</v>
      </c>
      <c r="G110" s="47" t="s">
        <v>196</v>
      </c>
      <c r="H110" s="46" t="s">
        <v>48</v>
      </c>
      <c r="I110" s="9"/>
      <c r="J110" s="9"/>
      <c r="K110" s="12"/>
    </row>
    <row r="111" ht="12.75" customHeight="1">
      <c r="A111" s="9" t="s">
        <v>48</v>
      </c>
      <c r="B111" s="46" t="s">
        <v>48</v>
      </c>
      <c r="C111" s="9" t="s">
        <v>48</v>
      </c>
      <c r="D111" s="9" t="s">
        <v>48</v>
      </c>
      <c r="E111" s="46" t="s">
        <v>48</v>
      </c>
      <c r="F111" s="9">
        <v>3.0</v>
      </c>
      <c r="G111" s="47" t="s">
        <v>197</v>
      </c>
      <c r="H111" s="46" t="s">
        <v>48</v>
      </c>
      <c r="I111" s="9"/>
      <c r="J111" s="9"/>
      <c r="K111" s="12"/>
    </row>
    <row r="112" ht="12.75" customHeight="1">
      <c r="A112" s="9" t="s">
        <v>198</v>
      </c>
      <c r="B112" s="46" t="s">
        <v>199</v>
      </c>
      <c r="C112" s="9" t="s">
        <v>47</v>
      </c>
      <c r="D112" s="46" t="s">
        <v>48</v>
      </c>
      <c r="E112" s="46" t="s">
        <v>48</v>
      </c>
      <c r="F112" s="46" t="s">
        <v>48</v>
      </c>
      <c r="G112" s="47" t="s">
        <v>48</v>
      </c>
      <c r="H112" s="46" t="s">
        <v>48</v>
      </c>
      <c r="I112" s="46" t="s">
        <v>48</v>
      </c>
      <c r="J112" s="46" t="s">
        <v>48</v>
      </c>
      <c r="K112" s="46" t="s">
        <v>48</v>
      </c>
    </row>
    <row r="113" ht="12.75" customHeight="1">
      <c r="A113" s="9" t="s">
        <v>48</v>
      </c>
      <c r="B113" s="46" t="s">
        <v>48</v>
      </c>
      <c r="C113" s="9" t="s">
        <v>48</v>
      </c>
      <c r="D113" s="9" t="s">
        <v>49</v>
      </c>
      <c r="E113" s="46" t="s">
        <v>200</v>
      </c>
      <c r="F113" s="9" t="s">
        <v>48</v>
      </c>
      <c r="G113" s="50" t="s">
        <v>201</v>
      </c>
      <c r="H113" s="46" t="s">
        <v>202</v>
      </c>
      <c r="I113" s="9">
        <v>1.0</v>
      </c>
      <c r="J113" s="9">
        <v>1.0</v>
      </c>
      <c r="K113" s="12">
        <v>0.3</v>
      </c>
      <c r="L113" s="48">
        <f t="shared" ref="L113:L121" si="18">K113/25*34</f>
        <v>0.408</v>
      </c>
      <c r="M113" s="48">
        <f t="shared" ref="M113:M120" si="19">IF(K113=0.2,0.25,IF(K113=0.6,0.8,IF(K113=0.3,0.4,IF(K113=0.1,0.15,IF(K113=0.4,0.6,IF(K113=0.7,1,IF(K113=0.25,0.4,IF(K113=0.5,0.6,IF(K113=1,1.4,IF(K113=0.55,0.75,999))))))))))</f>
        <v>0.4</v>
      </c>
    </row>
    <row r="114" ht="12.75" customHeight="1">
      <c r="A114" s="9" t="s">
        <v>48</v>
      </c>
      <c r="B114" s="46" t="s">
        <v>48</v>
      </c>
      <c r="C114" s="9" t="s">
        <v>48</v>
      </c>
      <c r="D114" s="9" t="s">
        <v>49</v>
      </c>
      <c r="E114" s="46" t="s">
        <v>203</v>
      </c>
      <c r="F114" s="9" t="s">
        <v>48</v>
      </c>
      <c r="G114" s="50" t="s">
        <v>204</v>
      </c>
      <c r="H114" s="46" t="s">
        <v>205</v>
      </c>
      <c r="I114" s="9">
        <v>4.0</v>
      </c>
      <c r="J114" s="9">
        <v>1.0</v>
      </c>
      <c r="K114" s="12">
        <v>0.3</v>
      </c>
      <c r="L114" s="48">
        <f t="shared" si="18"/>
        <v>0.408</v>
      </c>
      <c r="M114" s="48">
        <f t="shared" si="19"/>
        <v>0.4</v>
      </c>
    </row>
    <row r="115" ht="12.75" customHeight="1">
      <c r="A115" s="9" t="s">
        <v>48</v>
      </c>
      <c r="B115" s="46" t="s">
        <v>48</v>
      </c>
      <c r="C115" s="9" t="s">
        <v>48</v>
      </c>
      <c r="D115" s="9" t="s">
        <v>49</v>
      </c>
      <c r="E115" s="46" t="s">
        <v>206</v>
      </c>
      <c r="F115" s="9" t="s">
        <v>48</v>
      </c>
      <c r="G115" s="51" t="s">
        <v>207</v>
      </c>
      <c r="H115" s="46" t="s">
        <v>208</v>
      </c>
      <c r="I115" s="9">
        <v>4.0</v>
      </c>
      <c r="J115" s="9">
        <v>1.0</v>
      </c>
      <c r="K115" s="12">
        <v>0.2</v>
      </c>
      <c r="L115" s="48">
        <f t="shared" si="18"/>
        <v>0.272</v>
      </c>
      <c r="M115" s="48">
        <f t="shared" si="19"/>
        <v>0.25</v>
      </c>
    </row>
    <row r="116" ht="12.75" customHeight="1">
      <c r="A116" s="9" t="s">
        <v>48</v>
      </c>
      <c r="B116" s="46" t="s">
        <v>48</v>
      </c>
      <c r="C116" s="9" t="s">
        <v>48</v>
      </c>
      <c r="D116" s="9" t="s">
        <v>49</v>
      </c>
      <c r="E116" s="46" t="s">
        <v>209</v>
      </c>
      <c r="F116" s="9" t="s">
        <v>48</v>
      </c>
      <c r="G116" s="47" t="s">
        <v>210</v>
      </c>
      <c r="H116" s="46" t="s">
        <v>211</v>
      </c>
      <c r="I116" s="9">
        <v>4.0</v>
      </c>
      <c r="J116" s="9">
        <v>1.0</v>
      </c>
      <c r="K116" s="12">
        <v>0.3</v>
      </c>
      <c r="L116" s="48">
        <f t="shared" si="18"/>
        <v>0.408</v>
      </c>
      <c r="M116" s="48">
        <f t="shared" si="19"/>
        <v>0.4</v>
      </c>
    </row>
    <row r="117" ht="12.75" customHeight="1">
      <c r="A117" s="9" t="s">
        <v>48</v>
      </c>
      <c r="B117" s="46" t="s">
        <v>48</v>
      </c>
      <c r="C117" s="9" t="s">
        <v>48</v>
      </c>
      <c r="D117" s="9" t="s">
        <v>49</v>
      </c>
      <c r="E117" s="46" t="s">
        <v>212</v>
      </c>
      <c r="F117" s="9" t="s">
        <v>48</v>
      </c>
      <c r="G117" s="47" t="s">
        <v>213</v>
      </c>
      <c r="H117" s="52" t="s">
        <v>214</v>
      </c>
      <c r="I117" s="9">
        <v>2.0</v>
      </c>
      <c r="J117" s="9">
        <v>1.0</v>
      </c>
      <c r="K117" s="12">
        <v>0.2</v>
      </c>
      <c r="L117" s="48">
        <f t="shared" si="18"/>
        <v>0.272</v>
      </c>
      <c r="M117" s="48">
        <f t="shared" si="19"/>
        <v>0.25</v>
      </c>
    </row>
    <row r="118" ht="12.75" customHeight="1">
      <c r="A118" s="9" t="s">
        <v>48</v>
      </c>
      <c r="B118" s="46" t="s">
        <v>48</v>
      </c>
      <c r="C118" s="9" t="s">
        <v>48</v>
      </c>
      <c r="D118" s="9" t="s">
        <v>49</v>
      </c>
      <c r="E118" s="46" t="s">
        <v>215</v>
      </c>
      <c r="F118" s="9" t="s">
        <v>48</v>
      </c>
      <c r="G118" s="47" t="s">
        <v>216</v>
      </c>
      <c r="H118" s="46" t="s">
        <v>217</v>
      </c>
      <c r="I118" s="9">
        <v>4.0</v>
      </c>
      <c r="J118" s="9">
        <v>1.0</v>
      </c>
      <c r="K118" s="12">
        <v>0.2</v>
      </c>
      <c r="L118" s="48">
        <f t="shared" si="18"/>
        <v>0.272</v>
      </c>
      <c r="M118" s="48">
        <f t="shared" si="19"/>
        <v>0.25</v>
      </c>
    </row>
    <row r="119" ht="12.75" customHeight="1">
      <c r="A119" s="9" t="s">
        <v>48</v>
      </c>
      <c r="B119" s="46" t="s">
        <v>48</v>
      </c>
      <c r="C119" s="9" t="s">
        <v>48</v>
      </c>
      <c r="D119" s="9" t="s">
        <v>49</v>
      </c>
      <c r="E119" s="46" t="s">
        <v>218</v>
      </c>
      <c r="F119" s="9" t="s">
        <v>48</v>
      </c>
      <c r="G119" s="47" t="s">
        <v>219</v>
      </c>
      <c r="H119" s="46" t="s">
        <v>220</v>
      </c>
      <c r="I119" s="9">
        <v>3.0</v>
      </c>
      <c r="J119" s="9">
        <v>1.0</v>
      </c>
      <c r="K119" s="12">
        <v>0.3</v>
      </c>
      <c r="L119" s="48">
        <f t="shared" si="18"/>
        <v>0.408</v>
      </c>
      <c r="M119" s="48">
        <f t="shared" si="19"/>
        <v>0.4</v>
      </c>
    </row>
    <row r="120" ht="12.75" customHeight="1">
      <c r="A120" s="9" t="s">
        <v>48</v>
      </c>
      <c r="B120" s="46" t="s">
        <v>48</v>
      </c>
      <c r="C120" s="9" t="s">
        <v>48</v>
      </c>
      <c r="D120" s="9" t="s">
        <v>49</v>
      </c>
      <c r="E120" s="46" t="s">
        <v>221</v>
      </c>
      <c r="F120" s="9" t="s">
        <v>48</v>
      </c>
      <c r="G120" s="50" t="s">
        <v>222</v>
      </c>
      <c r="H120" s="46" t="s">
        <v>223</v>
      </c>
      <c r="I120" s="9">
        <v>3.0</v>
      </c>
      <c r="J120" s="9">
        <v>1.0</v>
      </c>
      <c r="K120" s="12">
        <v>0.3</v>
      </c>
      <c r="L120" s="48">
        <f t="shared" si="18"/>
        <v>0.408</v>
      </c>
      <c r="M120" s="48">
        <f t="shared" si="19"/>
        <v>0.4</v>
      </c>
    </row>
    <row r="121" ht="12.75" customHeight="1">
      <c r="A121" s="9" t="s">
        <v>48</v>
      </c>
      <c r="B121" s="46" t="s">
        <v>48</v>
      </c>
      <c r="C121" s="9" t="s">
        <v>48</v>
      </c>
      <c r="D121" s="9" t="s">
        <v>49</v>
      </c>
      <c r="E121" s="46" t="s">
        <v>224</v>
      </c>
      <c r="F121" s="9" t="s">
        <v>48</v>
      </c>
      <c r="G121" s="47" t="s">
        <v>225</v>
      </c>
      <c r="H121" s="46" t="s">
        <v>226</v>
      </c>
      <c r="I121" s="9">
        <v>4.0</v>
      </c>
      <c r="J121" s="9">
        <v>1.0</v>
      </c>
      <c r="K121" s="12">
        <v>0.5</v>
      </c>
      <c r="L121" s="48">
        <f t="shared" si="18"/>
        <v>0.68</v>
      </c>
      <c r="M121" s="48">
        <f>IF(K121=0.2,0.25,IF(K121=0.6,0.8,IF(K121=0.3,0.4,IF(K121=0.1,0.15,IF(K121=0.4,0.6,IF(K121=0.7,1,IF(K121=0.25,0.4,IF(K121=0.5,0.7,IF(K121=1,1.4,IF(K121=0.55,0.75,999))))))))))</f>
        <v>0.7</v>
      </c>
    </row>
    <row r="122" ht="12.75" customHeight="1">
      <c r="A122" s="9" t="s">
        <v>227</v>
      </c>
      <c r="B122" s="46" t="s">
        <v>228</v>
      </c>
      <c r="C122" s="9" t="s">
        <v>47</v>
      </c>
      <c r="D122" s="46" t="s">
        <v>48</v>
      </c>
      <c r="E122" s="46" t="s">
        <v>48</v>
      </c>
      <c r="F122" s="46" t="s">
        <v>48</v>
      </c>
      <c r="G122" s="47" t="s">
        <v>48</v>
      </c>
      <c r="H122" s="46" t="s">
        <v>48</v>
      </c>
      <c r="I122" s="46" t="s">
        <v>48</v>
      </c>
      <c r="J122" s="46" t="s">
        <v>48</v>
      </c>
      <c r="K122" s="46" t="s">
        <v>48</v>
      </c>
    </row>
    <row r="123" ht="12.75" customHeight="1">
      <c r="A123" s="9" t="s">
        <v>48</v>
      </c>
      <c r="B123" s="46" t="s">
        <v>48</v>
      </c>
      <c r="C123" s="9" t="s">
        <v>48</v>
      </c>
      <c r="D123" s="9" t="s">
        <v>49</v>
      </c>
      <c r="E123" s="46" t="s">
        <v>229</v>
      </c>
      <c r="F123" s="9" t="s">
        <v>48</v>
      </c>
      <c r="G123" s="47" t="s">
        <v>230</v>
      </c>
      <c r="H123" s="46" t="s">
        <v>231</v>
      </c>
      <c r="I123" s="9">
        <v>6.0</v>
      </c>
      <c r="J123" s="9">
        <v>1.0</v>
      </c>
      <c r="K123" s="12">
        <v>0.5</v>
      </c>
      <c r="L123" s="48">
        <f t="shared" ref="L123:L126" si="20">K123/25*34</f>
        <v>0.68</v>
      </c>
      <c r="M123" s="48">
        <f>IF(K123=0.2,0.25,IF(K123=0.6,0.8,IF(K123=0.3,0.4,IF(K123=0.1,0.15,IF(K123=0.4,0.6,IF(K123=0.7,1,IF(K123=0.25,0.4,IF(K123=0.5,0.7,IF(K123=1,1.4,IF(K123=0.55,0.75,999))))))))))</f>
        <v>0.7</v>
      </c>
    </row>
    <row r="124" ht="12.75" customHeight="1">
      <c r="A124" s="9" t="s">
        <v>48</v>
      </c>
      <c r="B124" s="46" t="s">
        <v>48</v>
      </c>
      <c r="C124" s="9" t="s">
        <v>48</v>
      </c>
      <c r="D124" s="9" t="s">
        <v>49</v>
      </c>
      <c r="E124" s="46" t="s">
        <v>232</v>
      </c>
      <c r="F124" s="9" t="s">
        <v>48</v>
      </c>
      <c r="G124" s="51" t="s">
        <v>233</v>
      </c>
      <c r="H124" s="46" t="s">
        <v>234</v>
      </c>
      <c r="I124" s="9">
        <v>6.0</v>
      </c>
      <c r="J124" s="9">
        <v>1.0</v>
      </c>
      <c r="K124" s="12">
        <v>0.3</v>
      </c>
      <c r="L124" s="48">
        <f t="shared" si="20"/>
        <v>0.408</v>
      </c>
      <c r="M124" s="48">
        <f>IF(K124=0.2,0.25,IF(K124=0.6,0.8,IF(K124=0.3,0.4,IF(K124=0.1,0.15,IF(K124=0.4,0.6,IF(K124=0.7,1,IF(K124=0.25,0.4,IF(K124=0.5,0.6,IF(K124=1,1.4,IF(K124=0.55,0.75,999))))))))))</f>
        <v>0.4</v>
      </c>
    </row>
    <row r="125" ht="12.75" customHeight="1">
      <c r="A125" s="9" t="s">
        <v>48</v>
      </c>
      <c r="B125" s="46" t="s">
        <v>48</v>
      </c>
      <c r="C125" s="9" t="s">
        <v>48</v>
      </c>
      <c r="D125" s="9" t="s">
        <v>49</v>
      </c>
      <c r="E125" s="46" t="s">
        <v>235</v>
      </c>
      <c r="F125" s="9" t="s">
        <v>48</v>
      </c>
      <c r="G125" s="47" t="s">
        <v>236</v>
      </c>
      <c r="H125" s="46" t="s">
        <v>231</v>
      </c>
      <c r="I125" s="9">
        <v>2.0</v>
      </c>
      <c r="J125" s="9">
        <v>1.0</v>
      </c>
      <c r="K125" s="12">
        <v>0.5</v>
      </c>
      <c r="L125" s="48">
        <f t="shared" si="20"/>
        <v>0.68</v>
      </c>
      <c r="M125" s="48">
        <f>IF(K125=0.2,0.25,IF(K125=0.6,0.8,IF(K125=0.3,0.4,IF(K125=0.1,0.15,IF(K125=0.4,0.6,IF(K125=0.7,1,IF(K125=0.25,0.4,IF(K125=0.5,0.7,IF(K125=1,1.4,IF(K125=0.55,0.75,999))))))))))</f>
        <v>0.7</v>
      </c>
    </row>
    <row r="126" ht="12.75" customHeight="1">
      <c r="A126" s="9" t="s">
        <v>48</v>
      </c>
      <c r="B126" s="46" t="s">
        <v>48</v>
      </c>
      <c r="C126" s="9" t="s">
        <v>48</v>
      </c>
      <c r="D126" s="9" t="s">
        <v>49</v>
      </c>
      <c r="E126" s="46" t="s">
        <v>237</v>
      </c>
      <c r="F126" s="9" t="s">
        <v>48</v>
      </c>
      <c r="G126" s="47" t="s">
        <v>238</v>
      </c>
      <c r="H126" s="46" t="s">
        <v>239</v>
      </c>
      <c r="I126" s="9">
        <v>3.0</v>
      </c>
      <c r="J126" s="9">
        <v>1.0</v>
      </c>
      <c r="K126" s="12">
        <v>0.4</v>
      </c>
      <c r="L126" s="48">
        <f t="shared" si="20"/>
        <v>0.544</v>
      </c>
      <c r="M126" s="48">
        <f>IF(K126=0.2,0.25,IF(K126=0.6,0.8,IF(K126=0.3,0.4,IF(K126=0.1,0.15,IF(K126=0.4,0.6,IF(K126=0.7,1,IF(K126=0.25,0.4,IF(K126=0.5,0.6,IF(K126=1,1.4,IF(K126=0.55,0.75,999))))))))))</f>
        <v>0.6</v>
      </c>
    </row>
    <row r="127" ht="12.75" customHeight="1">
      <c r="A127" s="9" t="s">
        <v>48</v>
      </c>
      <c r="B127" s="46" t="s">
        <v>48</v>
      </c>
      <c r="C127" s="9" t="s">
        <v>48</v>
      </c>
      <c r="D127" s="9" t="s">
        <v>48</v>
      </c>
      <c r="E127" s="46" t="s">
        <v>48</v>
      </c>
      <c r="F127" s="9" t="s">
        <v>48</v>
      </c>
      <c r="G127" s="47" t="s">
        <v>48</v>
      </c>
      <c r="H127" s="46" t="s">
        <v>48</v>
      </c>
      <c r="I127" s="9"/>
      <c r="J127" s="9"/>
      <c r="K127" s="12"/>
    </row>
    <row r="128" ht="12.75" customHeight="1">
      <c r="A128" s="9" t="s">
        <v>48</v>
      </c>
      <c r="B128" s="46" t="s">
        <v>48</v>
      </c>
      <c r="C128" s="9" t="s">
        <v>48</v>
      </c>
      <c r="D128" s="9" t="s">
        <v>48</v>
      </c>
      <c r="E128" s="46" t="s">
        <v>48</v>
      </c>
      <c r="F128" s="9" t="s">
        <v>48</v>
      </c>
      <c r="G128" s="47" t="s">
        <v>48</v>
      </c>
      <c r="H128" s="46" t="s">
        <v>48</v>
      </c>
      <c r="I128" s="9"/>
      <c r="J128" s="9"/>
      <c r="K128" s="12"/>
    </row>
    <row r="129" ht="12.75" customHeight="1">
      <c r="A129" s="23" t="s">
        <v>32</v>
      </c>
      <c r="B129" s="23" t="s">
        <v>33</v>
      </c>
      <c r="C129" s="23" t="s">
        <v>34</v>
      </c>
      <c r="D129" s="23" t="s">
        <v>35</v>
      </c>
      <c r="E129" s="23" t="s">
        <v>36</v>
      </c>
      <c r="F129" s="23" t="s">
        <v>37</v>
      </c>
      <c r="G129" s="24" t="s">
        <v>38</v>
      </c>
      <c r="H129" s="23" t="s">
        <v>39</v>
      </c>
      <c r="I129" s="23" t="s">
        <v>40</v>
      </c>
      <c r="J129" s="23" t="s">
        <v>41</v>
      </c>
      <c r="K129" s="23" t="s">
        <v>42</v>
      </c>
      <c r="L129" s="25" t="s">
        <v>240</v>
      </c>
      <c r="M129" s="26" t="s">
        <v>44</v>
      </c>
      <c r="N129" s="27">
        <f>SUM(K130:K169)</f>
        <v>25</v>
      </c>
    </row>
    <row r="130" ht="12.75" customHeight="1">
      <c r="A130" s="9" t="s">
        <v>241</v>
      </c>
      <c r="B130" s="46" t="s">
        <v>242</v>
      </c>
      <c r="C130" s="9" t="s">
        <v>243</v>
      </c>
      <c r="D130" s="46" t="s">
        <v>48</v>
      </c>
      <c r="E130" s="46" t="s">
        <v>48</v>
      </c>
      <c r="F130" s="46" t="s">
        <v>48</v>
      </c>
      <c r="G130" s="47" t="s">
        <v>48</v>
      </c>
      <c r="H130" s="46" t="s">
        <v>48</v>
      </c>
      <c r="I130" s="46" t="s">
        <v>48</v>
      </c>
      <c r="J130" s="46" t="s">
        <v>48</v>
      </c>
      <c r="K130" s="46" t="s">
        <v>48</v>
      </c>
    </row>
    <row r="131" ht="12.75" customHeight="1">
      <c r="A131" s="9" t="s">
        <v>48</v>
      </c>
      <c r="B131" s="46" t="s">
        <v>48</v>
      </c>
      <c r="C131" s="9" t="s">
        <v>48</v>
      </c>
      <c r="D131" s="9" t="s">
        <v>49</v>
      </c>
      <c r="E131" s="46" t="s">
        <v>244</v>
      </c>
      <c r="F131" s="9" t="s">
        <v>48</v>
      </c>
      <c r="G131" s="47" t="s">
        <v>245</v>
      </c>
      <c r="H131" s="46" t="s">
        <v>246</v>
      </c>
      <c r="I131" s="9">
        <v>6.0</v>
      </c>
      <c r="J131" s="9">
        <v>1.0</v>
      </c>
      <c r="K131" s="12">
        <v>0.84</v>
      </c>
    </row>
    <row r="132" ht="12.75" customHeight="1">
      <c r="A132" s="9" t="s">
        <v>48</v>
      </c>
      <c r="B132" s="46" t="s">
        <v>48</v>
      </c>
      <c r="C132" s="9" t="s">
        <v>48</v>
      </c>
      <c r="D132" s="9" t="s">
        <v>49</v>
      </c>
      <c r="E132" s="46" t="s">
        <v>247</v>
      </c>
      <c r="F132" s="9" t="s">
        <v>48</v>
      </c>
      <c r="G132" s="47" t="s">
        <v>248</v>
      </c>
      <c r="H132" s="46" t="s">
        <v>249</v>
      </c>
      <c r="I132" s="9">
        <v>6.0</v>
      </c>
      <c r="J132" s="9">
        <v>1.0</v>
      </c>
      <c r="K132" s="12">
        <v>0.21</v>
      </c>
    </row>
    <row r="133" ht="12.75" customHeight="1">
      <c r="A133" s="9" t="s">
        <v>48</v>
      </c>
      <c r="B133" s="46" t="s">
        <v>48</v>
      </c>
      <c r="C133" s="9" t="s">
        <v>48</v>
      </c>
      <c r="D133" s="9" t="s">
        <v>49</v>
      </c>
      <c r="E133" s="46" t="s">
        <v>250</v>
      </c>
      <c r="F133" s="9" t="s">
        <v>48</v>
      </c>
      <c r="G133" s="47" t="s">
        <v>251</v>
      </c>
      <c r="H133" s="46" t="s">
        <v>249</v>
      </c>
      <c r="I133" s="9">
        <v>6.0</v>
      </c>
      <c r="J133" s="9">
        <v>1.0</v>
      </c>
      <c r="K133" s="12">
        <v>1.04</v>
      </c>
    </row>
    <row r="134" ht="12.75" customHeight="1">
      <c r="A134" s="9" t="s">
        <v>48</v>
      </c>
      <c r="B134" s="46" t="s">
        <v>48</v>
      </c>
      <c r="C134" s="9" t="s">
        <v>48</v>
      </c>
      <c r="D134" s="9" t="s">
        <v>49</v>
      </c>
      <c r="E134" s="46" t="s">
        <v>252</v>
      </c>
      <c r="F134" s="9" t="s">
        <v>48</v>
      </c>
      <c r="G134" s="47" t="s">
        <v>245</v>
      </c>
      <c r="H134" s="46" t="s">
        <v>246</v>
      </c>
      <c r="I134" s="9">
        <v>8.0</v>
      </c>
      <c r="J134" s="9">
        <v>1.0</v>
      </c>
      <c r="K134" s="12">
        <v>0.28</v>
      </c>
    </row>
    <row r="135" ht="12.75" customHeight="1">
      <c r="A135" s="9" t="s">
        <v>48</v>
      </c>
      <c r="B135" s="46" t="s">
        <v>48</v>
      </c>
      <c r="C135" s="9" t="s">
        <v>48</v>
      </c>
      <c r="D135" s="9" t="s">
        <v>49</v>
      </c>
      <c r="E135" s="46" t="s">
        <v>253</v>
      </c>
      <c r="F135" s="9" t="s">
        <v>48</v>
      </c>
      <c r="G135" s="47" t="s">
        <v>248</v>
      </c>
      <c r="H135" s="46" t="s">
        <v>249</v>
      </c>
      <c r="I135" s="9">
        <v>8.0</v>
      </c>
      <c r="J135" s="9">
        <v>1.0</v>
      </c>
      <c r="K135" s="12">
        <v>0.07</v>
      </c>
    </row>
    <row r="136" ht="12.75" customHeight="1">
      <c r="A136" s="9" t="s">
        <v>48</v>
      </c>
      <c r="B136" s="46" t="s">
        <v>48</v>
      </c>
      <c r="C136" s="9" t="s">
        <v>48</v>
      </c>
      <c r="D136" s="9" t="s">
        <v>49</v>
      </c>
      <c r="E136" s="46" t="s">
        <v>254</v>
      </c>
      <c r="F136" s="9" t="s">
        <v>48</v>
      </c>
      <c r="G136" s="47" t="s">
        <v>251</v>
      </c>
      <c r="H136" s="46" t="s">
        <v>249</v>
      </c>
      <c r="I136" s="9">
        <v>8.0</v>
      </c>
      <c r="J136" s="9">
        <v>1.0</v>
      </c>
      <c r="K136" s="12">
        <v>0.34</v>
      </c>
    </row>
    <row r="137" ht="12.75" customHeight="1">
      <c r="A137" s="9" t="s">
        <v>48</v>
      </c>
      <c r="B137" s="46" t="s">
        <v>48</v>
      </c>
      <c r="C137" s="9" t="s">
        <v>48</v>
      </c>
      <c r="D137" s="9" t="s">
        <v>49</v>
      </c>
      <c r="E137" s="46" t="s">
        <v>255</v>
      </c>
      <c r="F137" s="9" t="s">
        <v>48</v>
      </c>
      <c r="G137" s="47" t="s">
        <v>245</v>
      </c>
      <c r="H137" s="46" t="s">
        <v>246</v>
      </c>
      <c r="I137" s="9">
        <v>6.0</v>
      </c>
      <c r="J137" s="9">
        <v>1.0</v>
      </c>
      <c r="K137" s="12">
        <v>0.42</v>
      </c>
    </row>
    <row r="138" ht="12.75" customHeight="1">
      <c r="A138" s="9" t="s">
        <v>48</v>
      </c>
      <c r="B138" s="46" t="s">
        <v>48</v>
      </c>
      <c r="C138" s="9" t="s">
        <v>48</v>
      </c>
      <c r="D138" s="9" t="s">
        <v>49</v>
      </c>
      <c r="E138" s="46" t="s">
        <v>256</v>
      </c>
      <c r="F138" s="9" t="s">
        <v>48</v>
      </c>
      <c r="G138" s="47" t="s">
        <v>248</v>
      </c>
      <c r="H138" s="46" t="s">
        <v>249</v>
      </c>
      <c r="I138" s="9">
        <v>6.0</v>
      </c>
      <c r="J138" s="9">
        <v>1.0</v>
      </c>
      <c r="K138" s="12">
        <v>0.1</v>
      </c>
    </row>
    <row r="139" ht="12.75" customHeight="1">
      <c r="A139" s="9" t="s">
        <v>48</v>
      </c>
      <c r="B139" s="46" t="s">
        <v>48</v>
      </c>
      <c r="C139" s="9" t="s">
        <v>48</v>
      </c>
      <c r="D139" s="9" t="s">
        <v>49</v>
      </c>
      <c r="E139" s="46" t="s">
        <v>257</v>
      </c>
      <c r="F139" s="9" t="s">
        <v>48</v>
      </c>
      <c r="G139" s="47" t="s">
        <v>251</v>
      </c>
      <c r="H139" s="46" t="s">
        <v>249</v>
      </c>
      <c r="I139" s="9">
        <v>6.0</v>
      </c>
      <c r="J139" s="9">
        <v>1.0</v>
      </c>
      <c r="K139" s="12">
        <v>0.52</v>
      </c>
    </row>
    <row r="140" ht="12.75" customHeight="1">
      <c r="A140" s="9" t="s">
        <v>48</v>
      </c>
      <c r="B140" s="46" t="s">
        <v>48</v>
      </c>
      <c r="C140" s="9" t="s">
        <v>48</v>
      </c>
      <c r="D140" s="9" t="s">
        <v>49</v>
      </c>
      <c r="E140" s="46" t="s">
        <v>258</v>
      </c>
      <c r="F140" s="9" t="s">
        <v>48</v>
      </c>
      <c r="G140" s="47" t="s">
        <v>245</v>
      </c>
      <c r="H140" s="46" t="s">
        <v>246</v>
      </c>
      <c r="I140" s="9">
        <v>8.0</v>
      </c>
      <c r="J140" s="9">
        <v>1.0</v>
      </c>
      <c r="K140" s="12">
        <v>0.97</v>
      </c>
    </row>
    <row r="141" ht="12.75" customHeight="1">
      <c r="A141" s="9" t="s">
        <v>48</v>
      </c>
      <c r="B141" s="46" t="s">
        <v>48</v>
      </c>
      <c r="C141" s="9" t="s">
        <v>48</v>
      </c>
      <c r="D141" s="9" t="s">
        <v>49</v>
      </c>
      <c r="E141" s="46" t="s">
        <v>259</v>
      </c>
      <c r="F141" s="9" t="s">
        <v>48</v>
      </c>
      <c r="G141" s="47" t="s">
        <v>248</v>
      </c>
      <c r="H141" s="46" t="s">
        <v>249</v>
      </c>
      <c r="I141" s="9">
        <v>8.0</v>
      </c>
      <c r="J141" s="9">
        <v>1.0</v>
      </c>
      <c r="K141" s="12">
        <v>0.24</v>
      </c>
    </row>
    <row r="142" ht="12.75" customHeight="1">
      <c r="A142" s="9" t="s">
        <v>48</v>
      </c>
      <c r="B142" s="46" t="s">
        <v>48</v>
      </c>
      <c r="C142" s="9" t="s">
        <v>48</v>
      </c>
      <c r="D142" s="9" t="s">
        <v>49</v>
      </c>
      <c r="E142" s="46" t="s">
        <v>260</v>
      </c>
      <c r="F142" s="9" t="s">
        <v>48</v>
      </c>
      <c r="G142" s="47" t="s">
        <v>251</v>
      </c>
      <c r="H142" s="46" t="s">
        <v>249</v>
      </c>
      <c r="I142" s="9">
        <v>8.0</v>
      </c>
      <c r="J142" s="9">
        <v>1.0</v>
      </c>
      <c r="K142" s="12">
        <v>1.22</v>
      </c>
    </row>
    <row r="143" ht="12.75" customHeight="1">
      <c r="A143" s="9" t="s">
        <v>48</v>
      </c>
      <c r="B143" s="46" t="s">
        <v>48</v>
      </c>
      <c r="C143" s="9" t="s">
        <v>48</v>
      </c>
      <c r="D143" s="9" t="s">
        <v>49</v>
      </c>
      <c r="E143" s="46" t="s">
        <v>261</v>
      </c>
      <c r="F143" s="9" t="s">
        <v>48</v>
      </c>
      <c r="G143" s="47" t="s">
        <v>262</v>
      </c>
      <c r="H143" s="46" t="s">
        <v>246</v>
      </c>
      <c r="I143" s="9">
        <v>6.0</v>
      </c>
      <c r="J143" s="9">
        <v>1.0</v>
      </c>
      <c r="K143" s="12">
        <v>1.63</v>
      </c>
    </row>
    <row r="144" ht="12.75" customHeight="1">
      <c r="A144" s="9" t="s">
        <v>48</v>
      </c>
      <c r="B144" s="46" t="s">
        <v>48</v>
      </c>
      <c r="C144" s="9" t="s">
        <v>48</v>
      </c>
      <c r="D144" s="9" t="s">
        <v>49</v>
      </c>
      <c r="E144" s="46" t="s">
        <v>263</v>
      </c>
      <c r="F144" s="9" t="s">
        <v>48</v>
      </c>
      <c r="G144" s="47" t="s">
        <v>245</v>
      </c>
      <c r="H144" s="46" t="s">
        <v>246</v>
      </c>
      <c r="I144" s="9">
        <v>8.0</v>
      </c>
      <c r="J144" s="9">
        <v>1.0</v>
      </c>
      <c r="K144" s="12">
        <v>1.5</v>
      </c>
    </row>
    <row r="145" ht="12.75" customHeight="1">
      <c r="A145" s="9" t="s">
        <v>48</v>
      </c>
      <c r="B145" s="46" t="s">
        <v>48</v>
      </c>
      <c r="C145" s="9" t="s">
        <v>48</v>
      </c>
      <c r="D145" s="9" t="s">
        <v>49</v>
      </c>
      <c r="E145" s="46" t="s">
        <v>264</v>
      </c>
      <c r="F145" s="9" t="s">
        <v>48</v>
      </c>
      <c r="G145" s="47" t="s">
        <v>245</v>
      </c>
      <c r="H145" s="46" t="s">
        <v>246</v>
      </c>
      <c r="I145" s="9">
        <v>4.0</v>
      </c>
      <c r="J145" s="9">
        <v>1.0</v>
      </c>
      <c r="K145" s="12">
        <v>1.78</v>
      </c>
    </row>
    <row r="146" ht="12.75" customHeight="1">
      <c r="A146" s="9" t="s">
        <v>48</v>
      </c>
      <c r="B146" s="46" t="s">
        <v>48</v>
      </c>
      <c r="C146" s="9" t="s">
        <v>48</v>
      </c>
      <c r="D146" s="9" t="s">
        <v>49</v>
      </c>
      <c r="E146" s="46" t="s">
        <v>265</v>
      </c>
      <c r="F146" s="9" t="s">
        <v>48</v>
      </c>
      <c r="G146" s="47" t="s">
        <v>262</v>
      </c>
      <c r="H146" s="46" t="s">
        <v>246</v>
      </c>
      <c r="I146" s="9">
        <v>4.0</v>
      </c>
      <c r="J146" s="9">
        <v>1.0</v>
      </c>
      <c r="K146" s="12">
        <v>1.0</v>
      </c>
    </row>
    <row r="147" ht="12.75" customHeight="1">
      <c r="A147" s="9" t="s">
        <v>48</v>
      </c>
      <c r="B147" s="46" t="s">
        <v>48</v>
      </c>
      <c r="C147" s="9" t="s">
        <v>48</v>
      </c>
      <c r="D147" s="9" t="s">
        <v>49</v>
      </c>
      <c r="E147" s="46" t="s">
        <v>266</v>
      </c>
      <c r="F147" s="9" t="s">
        <v>48</v>
      </c>
      <c r="G147" s="47" t="s">
        <v>262</v>
      </c>
      <c r="H147" s="46" t="s">
        <v>246</v>
      </c>
      <c r="I147" s="9">
        <v>8.0</v>
      </c>
      <c r="J147" s="9">
        <v>1.0</v>
      </c>
      <c r="K147" s="12">
        <v>1.78</v>
      </c>
    </row>
    <row r="148" ht="12.75" customHeight="1">
      <c r="A148" s="9" t="s">
        <v>48</v>
      </c>
      <c r="B148" s="46" t="s">
        <v>48</v>
      </c>
      <c r="C148" s="9" t="s">
        <v>48</v>
      </c>
      <c r="D148" s="9" t="s">
        <v>49</v>
      </c>
      <c r="E148" s="46" t="s">
        <v>267</v>
      </c>
      <c r="F148" s="9" t="s">
        <v>48</v>
      </c>
      <c r="G148" s="47" t="s">
        <v>262</v>
      </c>
      <c r="H148" s="46" t="s">
        <v>246</v>
      </c>
      <c r="I148" s="9">
        <v>8.0</v>
      </c>
      <c r="J148" s="9">
        <v>1.0</v>
      </c>
      <c r="K148" s="12">
        <v>1.0</v>
      </c>
    </row>
    <row r="149" ht="12.75" customHeight="1">
      <c r="A149" s="9" t="s">
        <v>268</v>
      </c>
      <c r="B149" s="46" t="s">
        <v>269</v>
      </c>
      <c r="C149" s="9" t="s">
        <v>243</v>
      </c>
      <c r="D149" s="46" t="s">
        <v>48</v>
      </c>
      <c r="E149" s="46" t="s">
        <v>48</v>
      </c>
      <c r="F149" s="46" t="s">
        <v>48</v>
      </c>
      <c r="G149" s="47" t="s">
        <v>48</v>
      </c>
      <c r="H149" s="46" t="s">
        <v>48</v>
      </c>
      <c r="I149" s="46" t="s">
        <v>48</v>
      </c>
      <c r="J149" s="46" t="s">
        <v>48</v>
      </c>
      <c r="K149" s="46" t="s">
        <v>48</v>
      </c>
    </row>
    <row r="150" ht="12.75" customHeight="1">
      <c r="A150" s="9" t="s">
        <v>48</v>
      </c>
      <c r="B150" s="46" t="s">
        <v>48</v>
      </c>
      <c r="C150" s="9" t="s">
        <v>48</v>
      </c>
      <c r="D150" s="9" t="s">
        <v>49</v>
      </c>
      <c r="E150" s="46" t="s">
        <v>270</v>
      </c>
      <c r="F150" s="9" t="s">
        <v>48</v>
      </c>
      <c r="G150" s="47" t="s">
        <v>245</v>
      </c>
      <c r="H150" s="46" t="s">
        <v>246</v>
      </c>
      <c r="I150" s="9">
        <v>7.0</v>
      </c>
      <c r="J150" s="9">
        <v>1.0</v>
      </c>
      <c r="K150" s="12">
        <v>0.28</v>
      </c>
    </row>
    <row r="151" ht="12.75" customHeight="1">
      <c r="A151" s="9" t="s">
        <v>48</v>
      </c>
      <c r="B151" s="46" t="s">
        <v>48</v>
      </c>
      <c r="C151" s="9" t="s">
        <v>48</v>
      </c>
      <c r="D151" s="9" t="s">
        <v>49</v>
      </c>
      <c r="E151" s="46" t="s">
        <v>271</v>
      </c>
      <c r="F151" s="9" t="s">
        <v>48</v>
      </c>
      <c r="G151" s="47" t="s">
        <v>248</v>
      </c>
      <c r="H151" s="46" t="s">
        <v>249</v>
      </c>
      <c r="I151" s="9">
        <v>7.0</v>
      </c>
      <c r="J151" s="9">
        <v>1.0</v>
      </c>
      <c r="K151" s="12">
        <v>0.07</v>
      </c>
    </row>
    <row r="152" ht="12.75" customHeight="1">
      <c r="A152" s="9" t="s">
        <v>48</v>
      </c>
      <c r="B152" s="46" t="s">
        <v>48</v>
      </c>
      <c r="C152" s="9" t="s">
        <v>48</v>
      </c>
      <c r="D152" s="9" t="s">
        <v>49</v>
      </c>
      <c r="E152" s="46" t="s">
        <v>272</v>
      </c>
      <c r="F152" s="9" t="s">
        <v>48</v>
      </c>
      <c r="G152" s="47" t="s">
        <v>251</v>
      </c>
      <c r="H152" s="46" t="s">
        <v>249</v>
      </c>
      <c r="I152" s="9">
        <v>7.0</v>
      </c>
      <c r="J152" s="9">
        <v>1.0</v>
      </c>
      <c r="K152" s="12">
        <v>0.34</v>
      </c>
    </row>
    <row r="153" ht="12.75" customHeight="1">
      <c r="A153" s="9" t="s">
        <v>48</v>
      </c>
      <c r="B153" s="46" t="s">
        <v>48</v>
      </c>
      <c r="C153" s="9" t="s">
        <v>48</v>
      </c>
      <c r="D153" s="9" t="s">
        <v>49</v>
      </c>
      <c r="E153" s="46" t="s">
        <v>273</v>
      </c>
      <c r="F153" s="9" t="s">
        <v>48</v>
      </c>
      <c r="G153" s="47" t="s">
        <v>245</v>
      </c>
      <c r="H153" s="46" t="s">
        <v>246</v>
      </c>
      <c r="I153" s="9">
        <v>8.0</v>
      </c>
      <c r="J153" s="9">
        <v>1.0</v>
      </c>
      <c r="K153" s="12">
        <v>0.83</v>
      </c>
    </row>
    <row r="154" ht="12.75" customHeight="1">
      <c r="A154" s="9" t="s">
        <v>48</v>
      </c>
      <c r="B154" s="46" t="s">
        <v>48</v>
      </c>
      <c r="C154" s="9" t="s">
        <v>48</v>
      </c>
      <c r="D154" s="9" t="s">
        <v>49</v>
      </c>
      <c r="E154" s="46" t="s">
        <v>274</v>
      </c>
      <c r="F154" s="9" t="s">
        <v>48</v>
      </c>
      <c r="G154" s="47" t="s">
        <v>248</v>
      </c>
      <c r="H154" s="46" t="s">
        <v>249</v>
      </c>
      <c r="I154" s="9">
        <v>8.0</v>
      </c>
      <c r="J154" s="9">
        <v>1.0</v>
      </c>
      <c r="K154" s="12">
        <v>0.21</v>
      </c>
    </row>
    <row r="155" ht="12.75" customHeight="1">
      <c r="A155" s="9" t="s">
        <v>48</v>
      </c>
      <c r="B155" s="46" t="s">
        <v>48</v>
      </c>
      <c r="C155" s="9" t="s">
        <v>48</v>
      </c>
      <c r="D155" s="9" t="s">
        <v>49</v>
      </c>
      <c r="E155" s="46" t="s">
        <v>275</v>
      </c>
      <c r="F155" s="9" t="s">
        <v>48</v>
      </c>
      <c r="G155" s="47" t="s">
        <v>251</v>
      </c>
      <c r="H155" s="46" t="s">
        <v>249</v>
      </c>
      <c r="I155" s="9">
        <v>8.0</v>
      </c>
      <c r="J155" s="9">
        <v>1.0</v>
      </c>
      <c r="K155" s="12">
        <v>1.04</v>
      </c>
    </row>
    <row r="156" ht="12.75" customHeight="1">
      <c r="A156" s="9" t="s">
        <v>48</v>
      </c>
      <c r="B156" s="46" t="s">
        <v>48</v>
      </c>
      <c r="C156" s="9" t="s">
        <v>48</v>
      </c>
      <c r="D156" s="9" t="s">
        <v>49</v>
      </c>
      <c r="E156" s="46" t="s">
        <v>276</v>
      </c>
      <c r="F156" s="9" t="s">
        <v>48</v>
      </c>
      <c r="G156" s="47" t="s">
        <v>245</v>
      </c>
      <c r="H156" s="46" t="s">
        <v>246</v>
      </c>
      <c r="I156" s="9">
        <v>4.0</v>
      </c>
      <c r="J156" s="9">
        <v>1.0</v>
      </c>
      <c r="K156" s="12">
        <v>0.42</v>
      </c>
    </row>
    <row r="157" ht="12.75" customHeight="1">
      <c r="A157" s="9" t="s">
        <v>48</v>
      </c>
      <c r="B157" s="46" t="s">
        <v>48</v>
      </c>
      <c r="C157" s="9" t="s">
        <v>48</v>
      </c>
      <c r="D157" s="9" t="s">
        <v>49</v>
      </c>
      <c r="E157" s="46" t="s">
        <v>277</v>
      </c>
      <c r="F157" s="9" t="s">
        <v>48</v>
      </c>
      <c r="G157" s="47" t="s">
        <v>248</v>
      </c>
      <c r="H157" s="46" t="s">
        <v>249</v>
      </c>
      <c r="I157" s="9">
        <v>4.0</v>
      </c>
      <c r="J157" s="9">
        <v>1.0</v>
      </c>
      <c r="K157" s="12">
        <v>0.1</v>
      </c>
    </row>
    <row r="158" ht="12.75" customHeight="1">
      <c r="A158" s="9" t="s">
        <v>48</v>
      </c>
      <c r="B158" s="46" t="s">
        <v>48</v>
      </c>
      <c r="C158" s="9" t="s">
        <v>48</v>
      </c>
      <c r="D158" s="9" t="s">
        <v>49</v>
      </c>
      <c r="E158" s="46" t="s">
        <v>278</v>
      </c>
      <c r="F158" s="9" t="s">
        <v>48</v>
      </c>
      <c r="G158" s="47" t="s">
        <v>251</v>
      </c>
      <c r="H158" s="46" t="s">
        <v>249</v>
      </c>
      <c r="I158" s="9">
        <v>4.0</v>
      </c>
      <c r="J158" s="9">
        <v>1.0</v>
      </c>
      <c r="K158" s="12">
        <v>0.52</v>
      </c>
    </row>
    <row r="159" ht="12.75" customHeight="1">
      <c r="A159" s="9" t="s">
        <v>48</v>
      </c>
      <c r="B159" s="46" t="s">
        <v>48</v>
      </c>
      <c r="C159" s="9" t="s">
        <v>48</v>
      </c>
      <c r="D159" s="9" t="s">
        <v>49</v>
      </c>
      <c r="E159" s="46" t="s">
        <v>279</v>
      </c>
      <c r="F159" s="9" t="s">
        <v>48</v>
      </c>
      <c r="G159" s="47" t="s">
        <v>245</v>
      </c>
      <c r="H159" s="46" t="s">
        <v>246</v>
      </c>
      <c r="I159" s="9">
        <v>8.0</v>
      </c>
      <c r="J159" s="9">
        <v>1.0</v>
      </c>
      <c r="K159" s="12">
        <v>0.28</v>
      </c>
    </row>
    <row r="160" ht="12.75" customHeight="1">
      <c r="A160" s="9" t="s">
        <v>48</v>
      </c>
      <c r="B160" s="46" t="s">
        <v>48</v>
      </c>
      <c r="C160" s="9" t="s">
        <v>48</v>
      </c>
      <c r="D160" s="9" t="s">
        <v>49</v>
      </c>
      <c r="E160" s="46" t="s">
        <v>280</v>
      </c>
      <c r="F160" s="9" t="s">
        <v>48</v>
      </c>
      <c r="G160" s="47" t="s">
        <v>248</v>
      </c>
      <c r="H160" s="46" t="s">
        <v>249</v>
      </c>
      <c r="I160" s="9">
        <v>8.0</v>
      </c>
      <c r="J160" s="9">
        <v>1.0</v>
      </c>
      <c r="K160" s="12">
        <v>0.07</v>
      </c>
    </row>
    <row r="161" ht="12.75" customHeight="1">
      <c r="A161" s="9" t="s">
        <v>48</v>
      </c>
      <c r="B161" s="46" t="s">
        <v>48</v>
      </c>
      <c r="C161" s="9" t="s">
        <v>48</v>
      </c>
      <c r="D161" s="9" t="s">
        <v>49</v>
      </c>
      <c r="E161" s="46" t="s">
        <v>281</v>
      </c>
      <c r="F161" s="9" t="s">
        <v>48</v>
      </c>
      <c r="G161" s="47" t="s">
        <v>251</v>
      </c>
      <c r="H161" s="46" t="s">
        <v>249</v>
      </c>
      <c r="I161" s="9">
        <v>8.0</v>
      </c>
      <c r="J161" s="9">
        <v>1.0</v>
      </c>
      <c r="K161" s="12">
        <v>0.34</v>
      </c>
    </row>
    <row r="162" ht="12.75" customHeight="1">
      <c r="A162" s="9" t="s">
        <v>48</v>
      </c>
      <c r="B162" s="46" t="s">
        <v>48</v>
      </c>
      <c r="C162" s="9" t="s">
        <v>48</v>
      </c>
      <c r="D162" s="9" t="s">
        <v>49</v>
      </c>
      <c r="E162" s="46" t="s">
        <v>282</v>
      </c>
      <c r="F162" s="9" t="s">
        <v>48</v>
      </c>
      <c r="G162" s="47" t="s">
        <v>245</v>
      </c>
      <c r="H162" s="46" t="s">
        <v>246</v>
      </c>
      <c r="I162" s="9">
        <v>8.0</v>
      </c>
      <c r="J162" s="9">
        <v>1.0</v>
      </c>
      <c r="K162" s="12">
        <v>1.25</v>
      </c>
    </row>
    <row r="163" ht="12.75" customHeight="1">
      <c r="A163" s="9" t="s">
        <v>48</v>
      </c>
      <c r="B163" s="46" t="s">
        <v>48</v>
      </c>
      <c r="C163" s="9" t="s">
        <v>48</v>
      </c>
      <c r="D163" s="9" t="s">
        <v>49</v>
      </c>
      <c r="E163" s="46" t="s">
        <v>283</v>
      </c>
      <c r="F163" s="9" t="s">
        <v>48</v>
      </c>
      <c r="G163" s="47" t="s">
        <v>248</v>
      </c>
      <c r="H163" s="46" t="s">
        <v>249</v>
      </c>
      <c r="I163" s="9">
        <v>8.0</v>
      </c>
      <c r="J163" s="9">
        <v>1.0</v>
      </c>
      <c r="K163" s="12">
        <v>0.14</v>
      </c>
    </row>
    <row r="164" ht="12.75" customHeight="1">
      <c r="A164" s="9" t="s">
        <v>48</v>
      </c>
      <c r="B164" s="46" t="s">
        <v>48</v>
      </c>
      <c r="C164" s="9" t="s">
        <v>48</v>
      </c>
      <c r="D164" s="9" t="s">
        <v>49</v>
      </c>
      <c r="E164" s="46" t="s">
        <v>284</v>
      </c>
      <c r="F164" s="9" t="s">
        <v>48</v>
      </c>
      <c r="G164" s="47" t="s">
        <v>245</v>
      </c>
      <c r="H164" s="46" t="s">
        <v>246</v>
      </c>
      <c r="I164" s="9">
        <v>4.0</v>
      </c>
      <c r="J164" s="9">
        <v>1.0</v>
      </c>
      <c r="K164" s="12">
        <v>1.57</v>
      </c>
    </row>
    <row r="165" ht="12.75" customHeight="1">
      <c r="A165" s="9" t="s">
        <v>48</v>
      </c>
      <c r="B165" s="46" t="s">
        <v>48</v>
      </c>
      <c r="C165" s="9" t="s">
        <v>48</v>
      </c>
      <c r="D165" s="9" t="s">
        <v>49</v>
      </c>
      <c r="E165" s="46" t="s">
        <v>285</v>
      </c>
      <c r="F165" s="9" t="s">
        <v>48</v>
      </c>
      <c r="G165" s="47" t="s">
        <v>248</v>
      </c>
      <c r="H165" s="46" t="s">
        <v>249</v>
      </c>
      <c r="I165" s="9">
        <v>4.0</v>
      </c>
      <c r="J165" s="9">
        <v>1.0</v>
      </c>
      <c r="K165" s="12">
        <v>0.17</v>
      </c>
    </row>
    <row r="166" ht="12.75" customHeight="1">
      <c r="A166" s="9" t="s">
        <v>48</v>
      </c>
      <c r="B166" s="46" t="s">
        <v>48</v>
      </c>
      <c r="C166" s="9" t="s">
        <v>48</v>
      </c>
      <c r="D166" s="9" t="s">
        <v>49</v>
      </c>
      <c r="E166" s="46" t="s">
        <v>286</v>
      </c>
      <c r="F166" s="9" t="s">
        <v>48</v>
      </c>
      <c r="G166" s="47" t="s">
        <v>245</v>
      </c>
      <c r="H166" s="46" t="s">
        <v>246</v>
      </c>
      <c r="I166" s="9">
        <v>4.0</v>
      </c>
      <c r="J166" s="9"/>
      <c r="K166" s="12">
        <v>1.04</v>
      </c>
    </row>
    <row r="167" ht="12.75" customHeight="1">
      <c r="A167" s="9" t="s">
        <v>48</v>
      </c>
      <c r="B167" s="46" t="s">
        <v>48</v>
      </c>
      <c r="C167" s="9" t="s">
        <v>48</v>
      </c>
      <c r="D167" s="9" t="s">
        <v>49</v>
      </c>
      <c r="E167" s="46" t="s">
        <v>287</v>
      </c>
      <c r="F167" s="9" t="s">
        <v>48</v>
      </c>
      <c r="G167" s="47" t="s">
        <v>245</v>
      </c>
      <c r="H167" s="46" t="s">
        <v>246</v>
      </c>
      <c r="I167" s="9">
        <v>8.0</v>
      </c>
      <c r="J167" s="9">
        <v>1.0</v>
      </c>
      <c r="K167" s="12">
        <v>1.39</v>
      </c>
    </row>
    <row r="168" ht="12.75" customHeight="1">
      <c r="A168" s="9" t="s">
        <v>48</v>
      </c>
      <c r="B168" s="46" t="s">
        <v>48</v>
      </c>
      <c r="C168" s="9" t="s">
        <v>48</v>
      </c>
      <c r="D168" s="9" t="s">
        <v>48</v>
      </c>
      <c r="E168" s="46" t="s">
        <v>48</v>
      </c>
      <c r="F168" s="9" t="s">
        <v>48</v>
      </c>
      <c r="G168" s="47" t="s">
        <v>48</v>
      </c>
      <c r="H168" s="46" t="s">
        <v>48</v>
      </c>
      <c r="I168" s="9"/>
      <c r="J168" s="9"/>
      <c r="K168" s="12"/>
    </row>
    <row r="169" ht="12.75" customHeight="1">
      <c r="A169" s="9" t="s">
        <v>48</v>
      </c>
      <c r="B169" s="46" t="s">
        <v>48</v>
      </c>
      <c r="C169" s="9" t="s">
        <v>48</v>
      </c>
      <c r="D169" s="9" t="s">
        <v>48</v>
      </c>
      <c r="E169" s="46" t="s">
        <v>48</v>
      </c>
      <c r="F169" s="9" t="s">
        <v>48</v>
      </c>
      <c r="G169" s="47" t="s">
        <v>48</v>
      </c>
      <c r="H169" s="46" t="s">
        <v>48</v>
      </c>
      <c r="I169" s="9"/>
      <c r="J169" s="9"/>
      <c r="K169" s="12"/>
    </row>
    <row r="170" ht="12.75" customHeight="1">
      <c r="A170" s="23" t="s">
        <v>32</v>
      </c>
      <c r="B170" s="23" t="s">
        <v>33</v>
      </c>
      <c r="C170" s="23" t="s">
        <v>34</v>
      </c>
      <c r="D170" s="23" t="s">
        <v>35</v>
      </c>
      <c r="E170" s="23" t="s">
        <v>36</v>
      </c>
      <c r="F170" s="23" t="s">
        <v>37</v>
      </c>
      <c r="G170" s="24" t="s">
        <v>38</v>
      </c>
      <c r="H170" s="23" t="s">
        <v>39</v>
      </c>
      <c r="I170" s="23" t="s">
        <v>40</v>
      </c>
      <c r="J170" s="23" t="s">
        <v>41</v>
      </c>
      <c r="K170" s="23" t="s">
        <v>42</v>
      </c>
      <c r="L170" s="25" t="s">
        <v>288</v>
      </c>
      <c r="M170" s="26" t="s">
        <v>44</v>
      </c>
      <c r="N170" s="27">
        <f>SUM(K171:K208)</f>
        <v>25</v>
      </c>
    </row>
    <row r="171" ht="12.75" customHeight="1">
      <c r="A171" s="9" t="s">
        <v>289</v>
      </c>
      <c r="B171" s="46" t="s">
        <v>290</v>
      </c>
      <c r="C171" s="9" t="s">
        <v>291</v>
      </c>
      <c r="D171" s="46" t="s">
        <v>48</v>
      </c>
      <c r="E171" s="46" t="s">
        <v>48</v>
      </c>
      <c r="F171" s="46" t="s">
        <v>48</v>
      </c>
      <c r="G171" s="47" t="s">
        <v>48</v>
      </c>
      <c r="H171" s="46" t="s">
        <v>48</v>
      </c>
      <c r="I171" s="46" t="s">
        <v>48</v>
      </c>
      <c r="J171" s="46" t="s">
        <v>48</v>
      </c>
      <c r="K171" s="46" t="s">
        <v>48</v>
      </c>
    </row>
    <row r="172" ht="12.75" customHeight="1">
      <c r="A172" s="9" t="s">
        <v>48</v>
      </c>
      <c r="B172" s="46" t="s">
        <v>48</v>
      </c>
      <c r="C172" s="9" t="s">
        <v>48</v>
      </c>
      <c r="D172" s="9" t="s">
        <v>49</v>
      </c>
      <c r="E172" s="46" t="s">
        <v>292</v>
      </c>
      <c r="F172" s="9" t="s">
        <v>48</v>
      </c>
      <c r="G172" s="47" t="s">
        <v>245</v>
      </c>
      <c r="H172" s="46" t="s">
        <v>246</v>
      </c>
      <c r="I172" s="9">
        <v>4.0</v>
      </c>
      <c r="J172" s="9">
        <v>1.0</v>
      </c>
      <c r="K172" s="12">
        <v>0.28</v>
      </c>
    </row>
    <row r="173" ht="12.75" customHeight="1">
      <c r="A173" s="9" t="s">
        <v>48</v>
      </c>
      <c r="B173" s="46" t="s">
        <v>48</v>
      </c>
      <c r="C173" s="9" t="s">
        <v>48</v>
      </c>
      <c r="D173" s="9" t="s">
        <v>49</v>
      </c>
      <c r="E173" s="46" t="s">
        <v>293</v>
      </c>
      <c r="F173" s="9" t="s">
        <v>48</v>
      </c>
      <c r="G173" s="47" t="s">
        <v>248</v>
      </c>
      <c r="H173" s="46" t="s">
        <v>249</v>
      </c>
      <c r="I173" s="9">
        <v>4.0</v>
      </c>
      <c r="J173" s="9">
        <v>1.0</v>
      </c>
      <c r="K173" s="12">
        <v>0.07</v>
      </c>
    </row>
    <row r="174" ht="12.75" customHeight="1">
      <c r="A174" s="9" t="s">
        <v>48</v>
      </c>
      <c r="B174" s="46" t="s">
        <v>48</v>
      </c>
      <c r="C174" s="9" t="s">
        <v>48</v>
      </c>
      <c r="D174" s="9" t="s">
        <v>49</v>
      </c>
      <c r="E174" s="46" t="s">
        <v>294</v>
      </c>
      <c r="F174" s="9" t="s">
        <v>48</v>
      </c>
      <c r="G174" s="47" t="s">
        <v>251</v>
      </c>
      <c r="H174" s="46" t="s">
        <v>249</v>
      </c>
      <c r="I174" s="9">
        <v>4.0</v>
      </c>
      <c r="J174" s="9">
        <v>1.0</v>
      </c>
      <c r="K174" s="12">
        <v>0.34</v>
      </c>
    </row>
    <row r="175" ht="12.75" customHeight="1">
      <c r="A175" s="9" t="s">
        <v>48</v>
      </c>
      <c r="B175" s="46" t="s">
        <v>48</v>
      </c>
      <c r="C175" s="9" t="s">
        <v>48</v>
      </c>
      <c r="D175" s="9" t="s">
        <v>49</v>
      </c>
      <c r="E175" s="46" t="s">
        <v>295</v>
      </c>
      <c r="F175" s="9" t="s">
        <v>48</v>
      </c>
      <c r="G175" s="47" t="s">
        <v>245</v>
      </c>
      <c r="H175" s="46" t="s">
        <v>246</v>
      </c>
      <c r="I175" s="9">
        <v>6.0</v>
      </c>
      <c r="J175" s="9">
        <v>1.0</v>
      </c>
      <c r="K175" s="12">
        <v>0.56</v>
      </c>
    </row>
    <row r="176" ht="12.75" customHeight="1">
      <c r="A176" s="9" t="s">
        <v>48</v>
      </c>
      <c r="B176" s="46" t="s">
        <v>48</v>
      </c>
      <c r="C176" s="9" t="s">
        <v>48</v>
      </c>
      <c r="D176" s="9" t="s">
        <v>49</v>
      </c>
      <c r="E176" s="46" t="s">
        <v>296</v>
      </c>
      <c r="F176" s="9" t="s">
        <v>48</v>
      </c>
      <c r="G176" s="47" t="s">
        <v>248</v>
      </c>
      <c r="H176" s="46" t="s">
        <v>249</v>
      </c>
      <c r="I176" s="9">
        <v>6.0</v>
      </c>
      <c r="J176" s="9">
        <v>1.0</v>
      </c>
      <c r="K176" s="12">
        <v>0.14</v>
      </c>
    </row>
    <row r="177" ht="12.75" customHeight="1">
      <c r="A177" s="9" t="s">
        <v>48</v>
      </c>
      <c r="B177" s="46" t="s">
        <v>48</v>
      </c>
      <c r="C177" s="9" t="s">
        <v>48</v>
      </c>
      <c r="D177" s="9" t="s">
        <v>49</v>
      </c>
      <c r="E177" s="46" t="s">
        <v>297</v>
      </c>
      <c r="F177" s="9" t="s">
        <v>48</v>
      </c>
      <c r="G177" s="47" t="s">
        <v>251</v>
      </c>
      <c r="H177" s="46" t="s">
        <v>249</v>
      </c>
      <c r="I177" s="9">
        <v>6.0</v>
      </c>
      <c r="J177" s="9">
        <v>1.0</v>
      </c>
      <c r="K177" s="12">
        <v>0.69</v>
      </c>
    </row>
    <row r="178" ht="12.75" customHeight="1">
      <c r="A178" s="9" t="s">
        <v>48</v>
      </c>
      <c r="B178" s="46" t="s">
        <v>48</v>
      </c>
      <c r="C178" s="9" t="s">
        <v>48</v>
      </c>
      <c r="D178" s="9" t="s">
        <v>49</v>
      </c>
      <c r="E178" s="46" t="s">
        <v>298</v>
      </c>
      <c r="F178" s="9" t="s">
        <v>48</v>
      </c>
      <c r="G178" s="47" t="s">
        <v>245</v>
      </c>
      <c r="H178" s="46" t="s">
        <v>246</v>
      </c>
      <c r="I178" s="9">
        <v>4.0</v>
      </c>
      <c r="J178" s="9">
        <v>1.0</v>
      </c>
      <c r="K178" s="12">
        <v>0.56</v>
      </c>
    </row>
    <row r="179" ht="12.75" customHeight="1">
      <c r="A179" s="9" t="s">
        <v>48</v>
      </c>
      <c r="B179" s="46" t="s">
        <v>48</v>
      </c>
      <c r="C179" s="9" t="s">
        <v>48</v>
      </c>
      <c r="D179" s="9" t="s">
        <v>49</v>
      </c>
      <c r="E179" s="46" t="s">
        <v>299</v>
      </c>
      <c r="F179" s="9" t="s">
        <v>48</v>
      </c>
      <c r="G179" s="47" t="s">
        <v>248</v>
      </c>
      <c r="H179" s="46" t="s">
        <v>249</v>
      </c>
      <c r="I179" s="9">
        <v>4.0</v>
      </c>
      <c r="J179" s="9">
        <v>1.0</v>
      </c>
      <c r="K179" s="12">
        <v>0.14</v>
      </c>
    </row>
    <row r="180" ht="12.75" customHeight="1">
      <c r="A180" s="9" t="s">
        <v>48</v>
      </c>
      <c r="B180" s="46" t="s">
        <v>48</v>
      </c>
      <c r="C180" s="9" t="s">
        <v>48</v>
      </c>
      <c r="D180" s="9" t="s">
        <v>49</v>
      </c>
      <c r="E180" s="46" t="s">
        <v>300</v>
      </c>
      <c r="F180" s="9" t="s">
        <v>48</v>
      </c>
      <c r="G180" s="47" t="s">
        <v>251</v>
      </c>
      <c r="H180" s="46" t="s">
        <v>249</v>
      </c>
      <c r="I180" s="9">
        <v>4.0</v>
      </c>
      <c r="J180" s="9">
        <v>1.0</v>
      </c>
      <c r="K180" s="12">
        <v>0.69</v>
      </c>
    </row>
    <row r="181" ht="12.75" customHeight="1">
      <c r="A181" s="9" t="s">
        <v>48</v>
      </c>
      <c r="B181" s="46" t="s">
        <v>48</v>
      </c>
      <c r="C181" s="9" t="s">
        <v>48</v>
      </c>
      <c r="D181" s="9" t="s">
        <v>49</v>
      </c>
      <c r="E181" s="46" t="s">
        <v>301</v>
      </c>
      <c r="F181" s="9" t="s">
        <v>48</v>
      </c>
      <c r="G181" s="47" t="s">
        <v>245</v>
      </c>
      <c r="H181" s="46" t="s">
        <v>246</v>
      </c>
      <c r="I181" s="9">
        <v>4.0</v>
      </c>
      <c r="J181" s="9">
        <v>1.0</v>
      </c>
      <c r="K181" s="12">
        <v>0.97</v>
      </c>
    </row>
    <row r="182" ht="12.75" customHeight="1">
      <c r="A182" s="9" t="s">
        <v>48</v>
      </c>
      <c r="B182" s="46" t="s">
        <v>48</v>
      </c>
      <c r="C182" s="9" t="s">
        <v>48</v>
      </c>
      <c r="D182" s="9" t="s">
        <v>49</v>
      </c>
      <c r="E182" s="46" t="s">
        <v>302</v>
      </c>
      <c r="F182" s="9" t="s">
        <v>48</v>
      </c>
      <c r="G182" s="47" t="s">
        <v>248</v>
      </c>
      <c r="H182" s="46" t="s">
        <v>249</v>
      </c>
      <c r="I182" s="9">
        <v>4.0</v>
      </c>
      <c r="J182" s="9">
        <v>1.0</v>
      </c>
      <c r="K182" s="12">
        <v>0.24</v>
      </c>
    </row>
    <row r="183" ht="12.75" customHeight="1">
      <c r="A183" s="9" t="s">
        <v>48</v>
      </c>
      <c r="B183" s="46" t="s">
        <v>48</v>
      </c>
      <c r="C183" s="9" t="s">
        <v>48</v>
      </c>
      <c r="D183" s="9" t="s">
        <v>49</v>
      </c>
      <c r="E183" s="46" t="s">
        <v>303</v>
      </c>
      <c r="F183" s="9" t="s">
        <v>48</v>
      </c>
      <c r="G183" s="47" t="s">
        <v>251</v>
      </c>
      <c r="H183" s="46" t="s">
        <v>249</v>
      </c>
      <c r="I183" s="9">
        <v>4.0</v>
      </c>
      <c r="J183" s="9">
        <v>1.0</v>
      </c>
      <c r="K183" s="12">
        <v>1.22</v>
      </c>
    </row>
    <row r="184" ht="12.75" customHeight="1">
      <c r="A184" s="9" t="s">
        <v>48</v>
      </c>
      <c r="B184" s="46" t="s">
        <v>48</v>
      </c>
      <c r="C184" s="9" t="s">
        <v>48</v>
      </c>
      <c r="D184" s="9" t="s">
        <v>49</v>
      </c>
      <c r="E184" s="46" t="s">
        <v>304</v>
      </c>
      <c r="F184" s="9" t="s">
        <v>48</v>
      </c>
      <c r="G184" s="47" t="s">
        <v>245</v>
      </c>
      <c r="H184" s="46" t="s">
        <v>246</v>
      </c>
      <c r="I184" s="9">
        <v>4.0</v>
      </c>
      <c r="J184" s="9">
        <v>1.0</v>
      </c>
      <c r="K184" s="12">
        <v>0.42</v>
      </c>
    </row>
    <row r="185" ht="12.75" customHeight="1">
      <c r="A185" s="9" t="s">
        <v>48</v>
      </c>
      <c r="B185" s="46" t="s">
        <v>48</v>
      </c>
      <c r="C185" s="9" t="s">
        <v>48</v>
      </c>
      <c r="D185" s="9" t="s">
        <v>49</v>
      </c>
      <c r="E185" s="46" t="s">
        <v>305</v>
      </c>
      <c r="F185" s="9" t="s">
        <v>48</v>
      </c>
      <c r="G185" s="47" t="s">
        <v>248</v>
      </c>
      <c r="H185" s="46" t="s">
        <v>249</v>
      </c>
      <c r="I185" s="9">
        <v>4.0</v>
      </c>
      <c r="J185" s="9">
        <v>1.0</v>
      </c>
      <c r="K185" s="12">
        <v>0.1</v>
      </c>
    </row>
    <row r="186" ht="12.75" customHeight="1">
      <c r="A186" s="9" t="s">
        <v>48</v>
      </c>
      <c r="B186" s="46" t="s">
        <v>48</v>
      </c>
      <c r="C186" s="9" t="s">
        <v>48</v>
      </c>
      <c r="D186" s="9" t="s">
        <v>49</v>
      </c>
      <c r="E186" s="46" t="s">
        <v>306</v>
      </c>
      <c r="F186" s="9" t="s">
        <v>48</v>
      </c>
      <c r="G186" s="47" t="s">
        <v>251</v>
      </c>
      <c r="H186" s="46" t="s">
        <v>249</v>
      </c>
      <c r="I186" s="9">
        <v>4.0</v>
      </c>
      <c r="J186" s="9">
        <v>1.0</v>
      </c>
      <c r="K186" s="12">
        <v>0.52</v>
      </c>
    </row>
    <row r="187" ht="12.75" customHeight="1">
      <c r="A187" s="9" t="s">
        <v>48</v>
      </c>
      <c r="B187" s="46" t="s">
        <v>48</v>
      </c>
      <c r="C187" s="9" t="s">
        <v>48</v>
      </c>
      <c r="D187" s="9" t="s">
        <v>49</v>
      </c>
      <c r="E187" s="46" t="s">
        <v>307</v>
      </c>
      <c r="F187" s="9" t="s">
        <v>48</v>
      </c>
      <c r="G187" s="47" t="s">
        <v>245</v>
      </c>
      <c r="H187" s="46" t="s">
        <v>246</v>
      </c>
      <c r="I187" s="9">
        <v>6.0</v>
      </c>
      <c r="J187" s="9">
        <v>1.0</v>
      </c>
      <c r="K187" s="12">
        <v>0.42</v>
      </c>
    </row>
    <row r="188" ht="12.75" customHeight="1">
      <c r="A188" s="9" t="s">
        <v>48</v>
      </c>
      <c r="B188" s="46" t="s">
        <v>48</v>
      </c>
      <c r="C188" s="9" t="s">
        <v>48</v>
      </c>
      <c r="D188" s="9" t="s">
        <v>49</v>
      </c>
      <c r="E188" s="46" t="s">
        <v>308</v>
      </c>
      <c r="F188" s="9" t="s">
        <v>48</v>
      </c>
      <c r="G188" s="47" t="s">
        <v>248</v>
      </c>
      <c r="H188" s="46" t="s">
        <v>249</v>
      </c>
      <c r="I188" s="9">
        <v>6.0</v>
      </c>
      <c r="J188" s="9">
        <v>1.0</v>
      </c>
      <c r="K188" s="12">
        <v>0.1</v>
      </c>
    </row>
    <row r="189" ht="12.75" customHeight="1">
      <c r="A189" s="9" t="s">
        <v>48</v>
      </c>
      <c r="B189" s="46" t="s">
        <v>48</v>
      </c>
      <c r="C189" s="9" t="s">
        <v>48</v>
      </c>
      <c r="D189" s="9" t="s">
        <v>49</v>
      </c>
      <c r="E189" s="46" t="s">
        <v>309</v>
      </c>
      <c r="F189" s="9" t="s">
        <v>48</v>
      </c>
      <c r="G189" s="47" t="s">
        <v>251</v>
      </c>
      <c r="H189" s="46" t="s">
        <v>249</v>
      </c>
      <c r="I189" s="9">
        <v>6.0</v>
      </c>
      <c r="J189" s="9">
        <v>1.0</v>
      </c>
      <c r="K189" s="12">
        <v>0.52</v>
      </c>
    </row>
    <row r="190" ht="12.75" customHeight="1">
      <c r="A190" s="9" t="s">
        <v>48</v>
      </c>
      <c r="B190" s="46" t="s">
        <v>48</v>
      </c>
      <c r="C190" s="9" t="s">
        <v>48</v>
      </c>
      <c r="D190" s="9" t="s">
        <v>49</v>
      </c>
      <c r="E190" s="46" t="s">
        <v>310</v>
      </c>
      <c r="F190" s="9" t="s">
        <v>48</v>
      </c>
      <c r="G190" s="47" t="s">
        <v>245</v>
      </c>
      <c r="H190" s="46" t="s">
        <v>246</v>
      </c>
      <c r="I190" s="9">
        <v>6.0</v>
      </c>
      <c r="J190" s="9">
        <v>1.0</v>
      </c>
      <c r="K190" s="12">
        <v>0.62</v>
      </c>
    </row>
    <row r="191" ht="12.75" customHeight="1">
      <c r="A191" s="9" t="s">
        <v>48</v>
      </c>
      <c r="B191" s="46" t="s">
        <v>48</v>
      </c>
      <c r="C191" s="9" t="s">
        <v>48</v>
      </c>
      <c r="D191" s="9" t="s">
        <v>49</v>
      </c>
      <c r="E191" s="46" t="s">
        <v>311</v>
      </c>
      <c r="F191" s="9" t="s">
        <v>48</v>
      </c>
      <c r="G191" s="47" t="s">
        <v>248</v>
      </c>
      <c r="H191" s="46" t="s">
        <v>249</v>
      </c>
      <c r="I191" s="9">
        <v>6.0</v>
      </c>
      <c r="J191" s="9">
        <v>1.0</v>
      </c>
      <c r="K191" s="12">
        <v>0.07</v>
      </c>
    </row>
    <row r="192" ht="12.75" customHeight="1">
      <c r="A192" s="9" t="s">
        <v>48</v>
      </c>
      <c r="B192" s="46" t="s">
        <v>48</v>
      </c>
      <c r="C192" s="9" t="s">
        <v>48</v>
      </c>
      <c r="D192" s="9" t="s">
        <v>49</v>
      </c>
      <c r="E192" s="46" t="s">
        <v>312</v>
      </c>
      <c r="F192" s="9" t="s">
        <v>48</v>
      </c>
      <c r="G192" s="47" t="s">
        <v>245</v>
      </c>
      <c r="H192" s="46" t="s">
        <v>246</v>
      </c>
      <c r="I192" s="9">
        <v>7.0</v>
      </c>
      <c r="J192" s="9">
        <v>1.0</v>
      </c>
      <c r="K192" s="12">
        <v>1.25</v>
      </c>
    </row>
    <row r="193" ht="12.75" customHeight="1">
      <c r="A193" s="9" t="s">
        <v>48</v>
      </c>
      <c r="B193" s="46" t="s">
        <v>48</v>
      </c>
      <c r="C193" s="9" t="s">
        <v>48</v>
      </c>
      <c r="D193" s="9" t="s">
        <v>49</v>
      </c>
      <c r="E193" s="46" t="s">
        <v>313</v>
      </c>
      <c r="F193" s="9" t="s">
        <v>48</v>
      </c>
      <c r="G193" s="47" t="s">
        <v>248</v>
      </c>
      <c r="H193" s="46" t="s">
        <v>249</v>
      </c>
      <c r="I193" s="9">
        <v>7.0</v>
      </c>
      <c r="J193" s="9">
        <v>1.0</v>
      </c>
      <c r="K193" s="12">
        <v>0.14</v>
      </c>
    </row>
    <row r="194" ht="12.75" customHeight="1">
      <c r="A194" s="9" t="s">
        <v>48</v>
      </c>
      <c r="B194" s="46" t="s">
        <v>48</v>
      </c>
      <c r="C194" s="9" t="s">
        <v>48</v>
      </c>
      <c r="D194" s="9" t="s">
        <v>49</v>
      </c>
      <c r="E194" s="46" t="s">
        <v>314</v>
      </c>
      <c r="F194" s="9" t="s">
        <v>48</v>
      </c>
      <c r="G194" s="47" t="s">
        <v>245</v>
      </c>
      <c r="H194" s="46" t="s">
        <v>315</v>
      </c>
      <c r="I194" s="9">
        <v>6.0</v>
      </c>
      <c r="J194" s="9"/>
      <c r="K194" s="12">
        <v>1.5</v>
      </c>
    </row>
    <row r="195" ht="12.75" customHeight="1">
      <c r="A195" s="9" t="s">
        <v>48</v>
      </c>
      <c r="B195" s="46" t="s">
        <v>48</v>
      </c>
      <c r="C195" s="9" t="s">
        <v>48</v>
      </c>
      <c r="D195" s="9" t="s">
        <v>49</v>
      </c>
      <c r="E195" s="46" t="s">
        <v>316</v>
      </c>
      <c r="F195" s="9" t="s">
        <v>48</v>
      </c>
      <c r="G195" s="47" t="s">
        <v>245</v>
      </c>
      <c r="H195" s="46" t="s">
        <v>315</v>
      </c>
      <c r="I195" s="9">
        <v>6.0</v>
      </c>
      <c r="J195" s="9"/>
      <c r="K195" s="12">
        <v>1.0</v>
      </c>
    </row>
    <row r="196" ht="12.75" customHeight="1">
      <c r="A196" s="9" t="s">
        <v>48</v>
      </c>
      <c r="B196" s="46" t="s">
        <v>48</v>
      </c>
      <c r="C196" s="9" t="s">
        <v>48</v>
      </c>
      <c r="D196" s="9" t="s">
        <v>49</v>
      </c>
      <c r="E196" s="46" t="s">
        <v>317</v>
      </c>
      <c r="F196" s="9" t="s">
        <v>48</v>
      </c>
      <c r="G196" s="47" t="s">
        <v>248</v>
      </c>
      <c r="H196" s="46" t="s">
        <v>249</v>
      </c>
      <c r="I196" s="9">
        <v>6.0</v>
      </c>
      <c r="J196" s="9"/>
      <c r="K196" s="12">
        <v>0.28</v>
      </c>
    </row>
    <row r="197" ht="12.75" customHeight="1">
      <c r="A197" s="9" t="s">
        <v>48</v>
      </c>
      <c r="B197" s="46" t="s">
        <v>48</v>
      </c>
      <c r="C197" s="9" t="s">
        <v>48</v>
      </c>
      <c r="D197" s="9" t="s">
        <v>49</v>
      </c>
      <c r="E197" s="46" t="s">
        <v>318</v>
      </c>
      <c r="F197" s="9" t="s">
        <v>48</v>
      </c>
      <c r="G197" s="47" t="s">
        <v>245</v>
      </c>
      <c r="H197" s="46" t="s">
        <v>246</v>
      </c>
      <c r="I197" s="9">
        <v>6.0</v>
      </c>
      <c r="J197" s="9"/>
      <c r="K197" s="12">
        <v>1.74</v>
      </c>
    </row>
    <row r="198" ht="12.75" customHeight="1">
      <c r="A198" s="9" t="s">
        <v>48</v>
      </c>
      <c r="B198" s="46" t="s">
        <v>48</v>
      </c>
      <c r="C198" s="9" t="s">
        <v>48</v>
      </c>
      <c r="D198" s="9" t="s">
        <v>49</v>
      </c>
      <c r="E198" s="46" t="s">
        <v>319</v>
      </c>
      <c r="F198" s="9" t="s">
        <v>48</v>
      </c>
      <c r="G198" s="47" t="s">
        <v>245</v>
      </c>
      <c r="H198" s="46" t="s">
        <v>246</v>
      </c>
      <c r="I198" s="9">
        <v>3.0</v>
      </c>
      <c r="J198" s="9"/>
      <c r="K198" s="12">
        <v>1.04</v>
      </c>
    </row>
    <row r="199" ht="12.75" customHeight="1">
      <c r="A199" s="9" t="s">
        <v>48</v>
      </c>
      <c r="B199" s="46" t="s">
        <v>48</v>
      </c>
      <c r="C199" s="9" t="s">
        <v>48</v>
      </c>
      <c r="D199" s="9" t="s">
        <v>49</v>
      </c>
      <c r="E199" s="46" t="s">
        <v>320</v>
      </c>
      <c r="F199" s="9" t="s">
        <v>48</v>
      </c>
      <c r="G199" s="47" t="s">
        <v>262</v>
      </c>
      <c r="H199" s="46" t="s">
        <v>246</v>
      </c>
      <c r="I199" s="9">
        <v>6.0</v>
      </c>
      <c r="J199" s="9"/>
      <c r="K199" s="12">
        <v>1.43</v>
      </c>
    </row>
    <row r="200" ht="12.75" customHeight="1">
      <c r="A200" s="9" t="s">
        <v>48</v>
      </c>
      <c r="B200" s="46" t="s">
        <v>48</v>
      </c>
      <c r="C200" s="9" t="s">
        <v>48</v>
      </c>
      <c r="D200" s="9" t="s">
        <v>49</v>
      </c>
      <c r="E200" s="46" t="s">
        <v>321</v>
      </c>
      <c r="F200" s="9" t="s">
        <v>48</v>
      </c>
      <c r="G200" s="47" t="s">
        <v>262</v>
      </c>
      <c r="H200" s="46" t="s">
        <v>246</v>
      </c>
      <c r="I200" s="9">
        <v>6.0</v>
      </c>
      <c r="J200" s="9"/>
      <c r="K200" s="12">
        <v>1.0</v>
      </c>
    </row>
    <row r="201" ht="12.75" customHeight="1">
      <c r="A201" s="9" t="s">
        <v>322</v>
      </c>
      <c r="B201" s="46" t="s">
        <v>323</v>
      </c>
      <c r="C201" s="9" t="s">
        <v>291</v>
      </c>
      <c r="D201" s="46" t="s">
        <v>48</v>
      </c>
      <c r="E201" s="46" t="s">
        <v>48</v>
      </c>
      <c r="F201" s="46" t="s">
        <v>48</v>
      </c>
      <c r="G201" s="47" t="s">
        <v>48</v>
      </c>
      <c r="H201" s="46" t="s">
        <v>48</v>
      </c>
      <c r="I201" s="46" t="s">
        <v>48</v>
      </c>
      <c r="J201" s="46" t="s">
        <v>48</v>
      </c>
      <c r="K201" s="46" t="s">
        <v>48</v>
      </c>
    </row>
    <row r="202" ht="12.75" customHeight="1">
      <c r="A202" s="9" t="s">
        <v>48</v>
      </c>
      <c r="B202" s="46" t="s">
        <v>48</v>
      </c>
      <c r="C202" s="9" t="s">
        <v>48</v>
      </c>
      <c r="D202" s="9" t="s">
        <v>49</v>
      </c>
      <c r="E202" s="46" t="s">
        <v>324</v>
      </c>
      <c r="F202" s="9" t="s">
        <v>48</v>
      </c>
      <c r="G202" s="47" t="s">
        <v>245</v>
      </c>
      <c r="H202" s="46" t="s">
        <v>246</v>
      </c>
      <c r="I202" s="9">
        <v>5.0</v>
      </c>
      <c r="J202" s="9"/>
      <c r="K202" s="12">
        <v>1.74</v>
      </c>
    </row>
    <row r="203" ht="12.75" customHeight="1">
      <c r="A203" s="9" t="s">
        <v>48</v>
      </c>
      <c r="B203" s="46" t="s">
        <v>48</v>
      </c>
      <c r="C203" s="9" t="s">
        <v>48</v>
      </c>
      <c r="D203" s="9" t="s">
        <v>49</v>
      </c>
      <c r="E203" s="46" t="s">
        <v>325</v>
      </c>
      <c r="F203" s="9" t="s">
        <v>48</v>
      </c>
      <c r="G203" s="47" t="s">
        <v>245</v>
      </c>
      <c r="H203" s="46" t="s">
        <v>246</v>
      </c>
      <c r="I203" s="9">
        <v>6.0</v>
      </c>
      <c r="J203" s="9"/>
      <c r="K203" s="12">
        <v>1.43</v>
      </c>
    </row>
    <row r="204" ht="12.75" customHeight="1">
      <c r="A204" s="9" t="s">
        <v>48</v>
      </c>
      <c r="B204" s="46" t="s">
        <v>48</v>
      </c>
      <c r="C204" s="9" t="s">
        <v>48</v>
      </c>
      <c r="D204" s="9" t="s">
        <v>49</v>
      </c>
      <c r="E204" s="46" t="s">
        <v>326</v>
      </c>
      <c r="F204" s="9" t="s">
        <v>48</v>
      </c>
      <c r="G204" s="47" t="s">
        <v>245</v>
      </c>
      <c r="H204" s="46" t="s">
        <v>246</v>
      </c>
      <c r="I204" s="9">
        <v>6.0</v>
      </c>
      <c r="J204" s="9"/>
      <c r="K204" s="12">
        <v>1.0</v>
      </c>
    </row>
    <row r="205" ht="12.75" customHeight="1">
      <c r="A205" s="9" t="s">
        <v>48</v>
      </c>
      <c r="B205" s="46" t="s">
        <v>48</v>
      </c>
      <c r="C205" s="9" t="s">
        <v>48</v>
      </c>
      <c r="D205" s="9" t="s">
        <v>49</v>
      </c>
      <c r="E205" s="46" t="s">
        <v>327</v>
      </c>
      <c r="F205" s="9" t="s">
        <v>48</v>
      </c>
      <c r="G205" s="47" t="s">
        <v>245</v>
      </c>
      <c r="H205" s="46" t="s">
        <v>246</v>
      </c>
      <c r="I205" s="9">
        <v>3.0</v>
      </c>
      <c r="J205" s="9"/>
      <c r="K205" s="12">
        <v>1.78</v>
      </c>
    </row>
    <row r="206" ht="12.75" customHeight="1">
      <c r="A206" s="9" t="s">
        <v>48</v>
      </c>
      <c r="B206" s="46" t="s">
        <v>48</v>
      </c>
      <c r="C206" s="9" t="s">
        <v>48</v>
      </c>
      <c r="D206" s="9" t="s">
        <v>49</v>
      </c>
      <c r="E206" s="46" t="s">
        <v>328</v>
      </c>
      <c r="F206" s="9" t="s">
        <v>48</v>
      </c>
      <c r="G206" s="47" t="s">
        <v>245</v>
      </c>
      <c r="H206" s="46" t="s">
        <v>246</v>
      </c>
      <c r="I206" s="9">
        <v>3.0</v>
      </c>
      <c r="J206" s="9"/>
      <c r="K206" s="12">
        <v>1.0</v>
      </c>
    </row>
    <row r="207" ht="12.75" customHeight="1">
      <c r="A207" s="9" t="s">
        <v>48</v>
      </c>
      <c r="B207" s="46" t="s">
        <v>48</v>
      </c>
      <c r="C207" s="9" t="s">
        <v>48</v>
      </c>
      <c r="D207" s="9" t="s">
        <v>48</v>
      </c>
      <c r="E207" s="46" t="s">
        <v>48</v>
      </c>
      <c r="F207" s="9" t="s">
        <v>48</v>
      </c>
      <c r="G207" s="47" t="s">
        <v>48</v>
      </c>
      <c r="H207" s="46" t="s">
        <v>48</v>
      </c>
      <c r="I207" s="9"/>
      <c r="J207" s="9"/>
      <c r="K207" s="12"/>
    </row>
    <row r="208" ht="12.75" customHeight="1">
      <c r="A208" s="9" t="s">
        <v>48</v>
      </c>
      <c r="B208" s="46" t="s">
        <v>48</v>
      </c>
      <c r="C208" s="9" t="s">
        <v>48</v>
      </c>
      <c r="D208" s="9" t="s">
        <v>48</v>
      </c>
      <c r="E208" s="46" t="s">
        <v>48</v>
      </c>
      <c r="F208" s="9" t="s">
        <v>48</v>
      </c>
      <c r="G208" s="47" t="s">
        <v>48</v>
      </c>
      <c r="H208" s="46" t="s">
        <v>48</v>
      </c>
      <c r="I208" s="9"/>
      <c r="J208" s="9"/>
      <c r="K208" s="12"/>
    </row>
    <row r="209" ht="12.75" customHeight="1">
      <c r="A209" s="23" t="s">
        <v>32</v>
      </c>
      <c r="B209" s="23" t="s">
        <v>33</v>
      </c>
      <c r="C209" s="23" t="s">
        <v>34</v>
      </c>
      <c r="D209" s="23" t="s">
        <v>35</v>
      </c>
      <c r="E209" s="23" t="s">
        <v>36</v>
      </c>
      <c r="F209" s="23" t="s">
        <v>37</v>
      </c>
      <c r="G209" s="24" t="s">
        <v>38</v>
      </c>
      <c r="H209" s="23" t="s">
        <v>39</v>
      </c>
      <c r="I209" s="23" t="s">
        <v>40</v>
      </c>
      <c r="J209" s="23" t="s">
        <v>41</v>
      </c>
      <c r="K209" s="23" t="s">
        <v>42</v>
      </c>
      <c r="L209" s="25" t="s">
        <v>329</v>
      </c>
      <c r="M209" s="26" t="s">
        <v>44</v>
      </c>
      <c r="N209" s="27">
        <f>SUM(K210:K244)</f>
        <v>25</v>
      </c>
    </row>
    <row r="210" ht="12.75" customHeight="1">
      <c r="A210" s="9" t="s">
        <v>330</v>
      </c>
      <c r="B210" s="46" t="s">
        <v>331</v>
      </c>
      <c r="C210" s="9" t="s">
        <v>332</v>
      </c>
      <c r="D210" s="46" t="s">
        <v>48</v>
      </c>
      <c r="E210" s="46" t="s">
        <v>48</v>
      </c>
      <c r="F210" s="46" t="s">
        <v>48</v>
      </c>
      <c r="G210" s="47" t="s">
        <v>48</v>
      </c>
      <c r="H210" s="46" t="s">
        <v>48</v>
      </c>
      <c r="I210" s="46" t="s">
        <v>48</v>
      </c>
      <c r="J210" s="46" t="s">
        <v>48</v>
      </c>
      <c r="K210" s="46" t="s">
        <v>48</v>
      </c>
    </row>
    <row r="211" ht="12.75" customHeight="1">
      <c r="A211" s="9" t="s">
        <v>48</v>
      </c>
      <c r="B211" s="46" t="s">
        <v>48</v>
      </c>
      <c r="C211" s="9" t="s">
        <v>48</v>
      </c>
      <c r="D211" s="9" t="s">
        <v>49</v>
      </c>
      <c r="E211" s="46" t="s">
        <v>333</v>
      </c>
      <c r="F211" s="9" t="s">
        <v>48</v>
      </c>
      <c r="G211" s="47" t="s">
        <v>245</v>
      </c>
      <c r="H211" s="46" t="s">
        <v>246</v>
      </c>
      <c r="I211" s="9">
        <v>1.0</v>
      </c>
      <c r="J211" s="9">
        <v>1.0</v>
      </c>
      <c r="K211" s="12">
        <v>0.54</v>
      </c>
    </row>
    <row r="212" ht="12.75" customHeight="1">
      <c r="A212" s="9" t="s">
        <v>48</v>
      </c>
      <c r="B212" s="46" t="s">
        <v>48</v>
      </c>
      <c r="C212" s="9" t="s">
        <v>48</v>
      </c>
      <c r="D212" s="9" t="s">
        <v>49</v>
      </c>
      <c r="E212" s="46" t="s">
        <v>334</v>
      </c>
      <c r="F212" s="9" t="s">
        <v>48</v>
      </c>
      <c r="G212" s="47" t="s">
        <v>248</v>
      </c>
      <c r="H212" s="46" t="s">
        <v>249</v>
      </c>
      <c r="I212" s="9">
        <v>1.0</v>
      </c>
      <c r="J212" s="9">
        <v>1.0</v>
      </c>
      <c r="K212" s="12">
        <v>0.13</v>
      </c>
    </row>
    <row r="213" ht="12.75" customHeight="1">
      <c r="A213" s="9" t="s">
        <v>48</v>
      </c>
      <c r="B213" s="46" t="s">
        <v>48</v>
      </c>
      <c r="C213" s="9" t="s">
        <v>48</v>
      </c>
      <c r="D213" s="9" t="s">
        <v>49</v>
      </c>
      <c r="E213" s="46" t="s">
        <v>335</v>
      </c>
      <c r="F213" s="9" t="s">
        <v>48</v>
      </c>
      <c r="G213" s="47" t="s">
        <v>251</v>
      </c>
      <c r="H213" s="46" t="s">
        <v>249</v>
      </c>
      <c r="I213" s="9">
        <v>1.0</v>
      </c>
      <c r="J213" s="9">
        <v>1.0</v>
      </c>
      <c r="K213" s="12">
        <v>0.66</v>
      </c>
    </row>
    <row r="214" ht="12.75" customHeight="1">
      <c r="A214" s="9" t="s">
        <v>48</v>
      </c>
      <c r="B214" s="46" t="s">
        <v>48</v>
      </c>
      <c r="C214" s="9" t="s">
        <v>48</v>
      </c>
      <c r="D214" s="9" t="s">
        <v>49</v>
      </c>
      <c r="E214" s="46" t="s">
        <v>336</v>
      </c>
      <c r="F214" s="9" t="s">
        <v>48</v>
      </c>
      <c r="G214" s="47" t="s">
        <v>245</v>
      </c>
      <c r="H214" s="46" t="s">
        <v>246</v>
      </c>
      <c r="I214" s="9">
        <v>5.0</v>
      </c>
      <c r="J214" s="9">
        <v>1.0</v>
      </c>
      <c r="K214" s="12">
        <v>0.87</v>
      </c>
    </row>
    <row r="215" ht="12.75" customHeight="1">
      <c r="A215" s="9" t="s">
        <v>48</v>
      </c>
      <c r="B215" s="46" t="s">
        <v>48</v>
      </c>
      <c r="C215" s="9" t="s">
        <v>48</v>
      </c>
      <c r="D215" s="9" t="s">
        <v>49</v>
      </c>
      <c r="E215" s="46" t="s">
        <v>337</v>
      </c>
      <c r="F215" s="9" t="s">
        <v>48</v>
      </c>
      <c r="G215" s="47" t="s">
        <v>248</v>
      </c>
      <c r="H215" s="46" t="s">
        <v>249</v>
      </c>
      <c r="I215" s="9">
        <v>5.0</v>
      </c>
      <c r="J215" s="9">
        <v>1.0</v>
      </c>
      <c r="K215" s="12">
        <v>0.22</v>
      </c>
    </row>
    <row r="216" ht="12.75" customHeight="1">
      <c r="A216" s="9" t="s">
        <v>48</v>
      </c>
      <c r="B216" s="46" t="s">
        <v>48</v>
      </c>
      <c r="C216" s="9" t="s">
        <v>48</v>
      </c>
      <c r="D216" s="9" t="s">
        <v>49</v>
      </c>
      <c r="E216" s="46" t="s">
        <v>338</v>
      </c>
      <c r="F216" s="9" t="s">
        <v>48</v>
      </c>
      <c r="G216" s="47" t="s">
        <v>251</v>
      </c>
      <c r="H216" s="46" t="s">
        <v>249</v>
      </c>
      <c r="I216" s="9">
        <v>5.0</v>
      </c>
      <c r="J216" s="9">
        <v>1.0</v>
      </c>
      <c r="K216" s="12">
        <v>1.1</v>
      </c>
    </row>
    <row r="217" ht="12.75" customHeight="1">
      <c r="A217" s="9" t="s">
        <v>48</v>
      </c>
      <c r="B217" s="46" t="s">
        <v>48</v>
      </c>
      <c r="C217" s="9" t="s">
        <v>48</v>
      </c>
      <c r="D217" s="9" t="s">
        <v>49</v>
      </c>
      <c r="E217" s="46" t="s">
        <v>339</v>
      </c>
      <c r="F217" s="9" t="s">
        <v>48</v>
      </c>
      <c r="G217" s="47" t="s">
        <v>245</v>
      </c>
      <c r="H217" s="46" t="s">
        <v>246</v>
      </c>
      <c r="I217" s="9">
        <v>5.0</v>
      </c>
      <c r="J217" s="9">
        <v>1.0</v>
      </c>
      <c r="K217" s="12">
        <v>0.69</v>
      </c>
    </row>
    <row r="218" ht="12.75" customHeight="1">
      <c r="A218" s="9" t="s">
        <v>48</v>
      </c>
      <c r="B218" s="46" t="s">
        <v>48</v>
      </c>
      <c r="C218" s="9" t="s">
        <v>48</v>
      </c>
      <c r="D218" s="9" t="s">
        <v>49</v>
      </c>
      <c r="E218" s="46" t="s">
        <v>340</v>
      </c>
      <c r="F218" s="9" t="s">
        <v>48</v>
      </c>
      <c r="G218" s="47" t="s">
        <v>248</v>
      </c>
      <c r="H218" s="46" t="s">
        <v>249</v>
      </c>
      <c r="I218" s="9">
        <v>5.0</v>
      </c>
      <c r="J218" s="9">
        <v>1.0</v>
      </c>
      <c r="K218" s="12">
        <v>0.18</v>
      </c>
    </row>
    <row r="219" ht="12.75" customHeight="1">
      <c r="A219" s="9" t="s">
        <v>48</v>
      </c>
      <c r="B219" s="46" t="s">
        <v>48</v>
      </c>
      <c r="C219" s="9" t="s">
        <v>48</v>
      </c>
      <c r="D219" s="9" t="s">
        <v>49</v>
      </c>
      <c r="E219" s="46" t="s">
        <v>341</v>
      </c>
      <c r="F219" s="9" t="s">
        <v>48</v>
      </c>
      <c r="G219" s="47" t="s">
        <v>251</v>
      </c>
      <c r="H219" s="46" t="s">
        <v>249</v>
      </c>
      <c r="I219" s="9">
        <v>5.0</v>
      </c>
      <c r="J219" s="9">
        <v>1.0</v>
      </c>
      <c r="K219" s="12">
        <v>0.88</v>
      </c>
    </row>
    <row r="220" ht="12.75" customHeight="1">
      <c r="A220" s="9" t="s">
        <v>48</v>
      </c>
      <c r="B220" s="46" t="s">
        <v>48</v>
      </c>
      <c r="C220" s="9" t="s">
        <v>48</v>
      </c>
      <c r="D220" s="9" t="s">
        <v>49</v>
      </c>
      <c r="E220" s="46" t="s">
        <v>342</v>
      </c>
      <c r="F220" s="9" t="s">
        <v>48</v>
      </c>
      <c r="G220" s="47" t="s">
        <v>245</v>
      </c>
      <c r="H220" s="46" t="s">
        <v>246</v>
      </c>
      <c r="I220" s="9">
        <v>5.0</v>
      </c>
      <c r="J220" s="9">
        <v>1.0</v>
      </c>
      <c r="K220" s="12">
        <v>0.35</v>
      </c>
    </row>
    <row r="221" ht="12.75" customHeight="1">
      <c r="A221" s="9" t="s">
        <v>48</v>
      </c>
      <c r="B221" s="46" t="s">
        <v>48</v>
      </c>
      <c r="C221" s="9" t="s">
        <v>48</v>
      </c>
      <c r="D221" s="9" t="s">
        <v>49</v>
      </c>
      <c r="E221" s="46" t="s">
        <v>343</v>
      </c>
      <c r="F221" s="9" t="s">
        <v>48</v>
      </c>
      <c r="G221" s="47" t="s">
        <v>248</v>
      </c>
      <c r="H221" s="46" t="s">
        <v>249</v>
      </c>
      <c r="I221" s="9">
        <v>5.0</v>
      </c>
      <c r="J221" s="9">
        <v>1.0</v>
      </c>
      <c r="K221" s="12">
        <v>0.09</v>
      </c>
    </row>
    <row r="222" ht="12.75" customHeight="1">
      <c r="A222" s="9" t="s">
        <v>48</v>
      </c>
      <c r="B222" s="46" t="s">
        <v>48</v>
      </c>
      <c r="C222" s="9" t="s">
        <v>48</v>
      </c>
      <c r="D222" s="9" t="s">
        <v>49</v>
      </c>
      <c r="E222" s="46" t="s">
        <v>344</v>
      </c>
      <c r="F222" s="9" t="s">
        <v>48</v>
      </c>
      <c r="G222" s="47" t="s">
        <v>251</v>
      </c>
      <c r="H222" s="46" t="s">
        <v>249</v>
      </c>
      <c r="I222" s="9">
        <v>5.0</v>
      </c>
      <c r="J222" s="9">
        <v>1.0</v>
      </c>
      <c r="K222" s="12">
        <v>0.44</v>
      </c>
    </row>
    <row r="223" ht="12.75" customHeight="1">
      <c r="A223" s="9" t="s">
        <v>48</v>
      </c>
      <c r="B223" s="46" t="s">
        <v>48</v>
      </c>
      <c r="C223" s="9" t="s">
        <v>48</v>
      </c>
      <c r="D223" s="9" t="s">
        <v>49</v>
      </c>
      <c r="E223" s="46" t="s">
        <v>345</v>
      </c>
      <c r="F223" s="9" t="s">
        <v>48</v>
      </c>
      <c r="G223" s="47" t="s">
        <v>245</v>
      </c>
      <c r="H223" s="46" t="s">
        <v>246</v>
      </c>
      <c r="I223" s="9">
        <v>5.0</v>
      </c>
      <c r="J223" s="9">
        <v>1.0</v>
      </c>
      <c r="K223" s="12">
        <v>0.35</v>
      </c>
    </row>
    <row r="224" ht="12.75" customHeight="1">
      <c r="A224" s="9" t="s">
        <v>48</v>
      </c>
      <c r="B224" s="46" t="s">
        <v>48</v>
      </c>
      <c r="C224" s="9" t="s">
        <v>48</v>
      </c>
      <c r="D224" s="9" t="s">
        <v>49</v>
      </c>
      <c r="E224" s="46" t="s">
        <v>346</v>
      </c>
      <c r="F224" s="9" t="s">
        <v>48</v>
      </c>
      <c r="G224" s="47" t="s">
        <v>248</v>
      </c>
      <c r="H224" s="46" t="s">
        <v>249</v>
      </c>
      <c r="I224" s="9">
        <v>5.0</v>
      </c>
      <c r="J224" s="9">
        <v>1.0</v>
      </c>
      <c r="K224" s="12">
        <v>0.09</v>
      </c>
    </row>
    <row r="225" ht="12.75" customHeight="1">
      <c r="A225" s="9" t="s">
        <v>48</v>
      </c>
      <c r="B225" s="46" t="s">
        <v>48</v>
      </c>
      <c r="C225" s="9" t="s">
        <v>48</v>
      </c>
      <c r="D225" s="9" t="s">
        <v>49</v>
      </c>
      <c r="E225" s="46" t="s">
        <v>347</v>
      </c>
      <c r="F225" s="9" t="s">
        <v>48</v>
      </c>
      <c r="G225" s="47" t="s">
        <v>251</v>
      </c>
      <c r="H225" s="46" t="s">
        <v>249</v>
      </c>
      <c r="I225" s="9">
        <v>5.0</v>
      </c>
      <c r="J225" s="9">
        <v>1.0</v>
      </c>
      <c r="K225" s="12">
        <v>0.44</v>
      </c>
    </row>
    <row r="226" ht="12.75" customHeight="1">
      <c r="A226" s="9" t="s">
        <v>48</v>
      </c>
      <c r="B226" s="46" t="s">
        <v>48</v>
      </c>
      <c r="C226" s="9" t="s">
        <v>48</v>
      </c>
      <c r="D226" s="9" t="s">
        <v>49</v>
      </c>
      <c r="E226" s="46" t="s">
        <v>348</v>
      </c>
      <c r="F226" s="9" t="s">
        <v>48</v>
      </c>
      <c r="G226" s="47" t="s">
        <v>245</v>
      </c>
      <c r="H226" s="46" t="s">
        <v>246</v>
      </c>
      <c r="I226" s="9">
        <v>5.0</v>
      </c>
      <c r="J226" s="9">
        <v>1.0</v>
      </c>
      <c r="K226" s="12">
        <v>1.97</v>
      </c>
    </row>
    <row r="227" ht="12.75" customHeight="1">
      <c r="A227" s="9" t="s">
        <v>48</v>
      </c>
      <c r="B227" s="46" t="s">
        <v>48</v>
      </c>
      <c r="C227" s="9" t="s">
        <v>48</v>
      </c>
      <c r="D227" s="9" t="s">
        <v>49</v>
      </c>
      <c r="E227" s="46" t="s">
        <v>349</v>
      </c>
      <c r="F227" s="9" t="s">
        <v>48</v>
      </c>
      <c r="G227" s="47" t="s">
        <v>248</v>
      </c>
      <c r="H227" s="46" t="s">
        <v>249</v>
      </c>
      <c r="I227" s="9">
        <v>5.0</v>
      </c>
      <c r="J227" s="9">
        <v>1.0</v>
      </c>
      <c r="K227" s="12">
        <v>0.22</v>
      </c>
    </row>
    <row r="228" ht="12.75" customHeight="1">
      <c r="A228" s="9" t="s">
        <v>48</v>
      </c>
      <c r="B228" s="46" t="s">
        <v>48</v>
      </c>
      <c r="C228" s="9" t="s">
        <v>48</v>
      </c>
      <c r="D228" s="9" t="s">
        <v>49</v>
      </c>
      <c r="E228" s="46" t="s">
        <v>350</v>
      </c>
      <c r="F228" s="9" t="s">
        <v>48</v>
      </c>
      <c r="G228" s="47" t="s">
        <v>245</v>
      </c>
      <c r="H228" s="46" t="s">
        <v>246</v>
      </c>
      <c r="I228" s="9">
        <v>5.0</v>
      </c>
      <c r="J228" s="9">
        <v>1.0</v>
      </c>
      <c r="K228" s="12">
        <v>1.18</v>
      </c>
    </row>
    <row r="229" ht="12.75" customHeight="1">
      <c r="A229" s="9" t="s">
        <v>48</v>
      </c>
      <c r="B229" s="46" t="s">
        <v>48</v>
      </c>
      <c r="C229" s="9" t="s">
        <v>48</v>
      </c>
      <c r="D229" s="9" t="s">
        <v>49</v>
      </c>
      <c r="E229" s="46" t="s">
        <v>351</v>
      </c>
      <c r="F229" s="9" t="s">
        <v>48</v>
      </c>
      <c r="G229" s="47" t="s">
        <v>245</v>
      </c>
      <c r="H229" s="46" t="s">
        <v>246</v>
      </c>
      <c r="I229" s="9">
        <v>5.0</v>
      </c>
      <c r="J229" s="9">
        <v>1.0</v>
      </c>
      <c r="K229" s="12">
        <v>1.18</v>
      </c>
    </row>
    <row r="230" ht="12.75" customHeight="1">
      <c r="A230" s="9" t="s">
        <v>48</v>
      </c>
      <c r="B230" s="46" t="s">
        <v>48</v>
      </c>
      <c r="C230" s="9" t="s">
        <v>48</v>
      </c>
      <c r="D230" s="9" t="s">
        <v>49</v>
      </c>
      <c r="E230" s="46" t="s">
        <v>352</v>
      </c>
      <c r="F230" s="9" t="s">
        <v>48</v>
      </c>
      <c r="G230" s="47" t="s">
        <v>248</v>
      </c>
      <c r="H230" s="46" t="s">
        <v>249</v>
      </c>
      <c r="I230" s="9">
        <v>5.0</v>
      </c>
      <c r="J230" s="9">
        <v>1.0</v>
      </c>
      <c r="K230" s="12">
        <v>0.26</v>
      </c>
    </row>
    <row r="231" ht="12.75" customHeight="1">
      <c r="A231" s="9" t="s">
        <v>48</v>
      </c>
      <c r="B231" s="46" t="s">
        <v>48</v>
      </c>
      <c r="C231" s="9" t="s">
        <v>48</v>
      </c>
      <c r="D231" s="9" t="s">
        <v>49</v>
      </c>
      <c r="E231" s="46" t="s">
        <v>353</v>
      </c>
      <c r="F231" s="9" t="s">
        <v>48</v>
      </c>
      <c r="G231" s="47" t="s">
        <v>245</v>
      </c>
      <c r="H231" s="46" t="s">
        <v>246</v>
      </c>
      <c r="I231" s="9">
        <v>7.0</v>
      </c>
      <c r="J231" s="9">
        <v>1.0</v>
      </c>
      <c r="K231" s="12">
        <v>1.97</v>
      </c>
    </row>
    <row r="232" ht="12.75" customHeight="1">
      <c r="A232" s="9" t="s">
        <v>48</v>
      </c>
      <c r="B232" s="46" t="s">
        <v>48</v>
      </c>
      <c r="C232" s="9" t="s">
        <v>48</v>
      </c>
      <c r="D232" s="9" t="s">
        <v>49</v>
      </c>
      <c r="E232" s="46" t="s">
        <v>354</v>
      </c>
      <c r="F232" s="9" t="s">
        <v>48</v>
      </c>
      <c r="G232" s="47" t="s">
        <v>248</v>
      </c>
      <c r="H232" s="46" t="s">
        <v>249</v>
      </c>
      <c r="I232" s="9">
        <v>7.0</v>
      </c>
      <c r="J232" s="9">
        <v>1.0</v>
      </c>
      <c r="K232" s="12">
        <v>0.22</v>
      </c>
    </row>
    <row r="233" ht="12.75" customHeight="1">
      <c r="A233" s="9" t="s">
        <v>48</v>
      </c>
      <c r="B233" s="46" t="s">
        <v>48</v>
      </c>
      <c r="C233" s="9" t="s">
        <v>48</v>
      </c>
      <c r="D233" s="9" t="s">
        <v>49</v>
      </c>
      <c r="E233" s="46" t="s">
        <v>355</v>
      </c>
      <c r="F233" s="9" t="s">
        <v>48</v>
      </c>
      <c r="G233" s="47" t="s">
        <v>245</v>
      </c>
      <c r="H233" s="46" t="s">
        <v>246</v>
      </c>
      <c r="I233" s="9">
        <v>5.0</v>
      </c>
      <c r="J233" s="9">
        <v>1.0</v>
      </c>
      <c r="K233" s="12">
        <v>1.19</v>
      </c>
    </row>
    <row r="234" ht="12.75" customHeight="1">
      <c r="A234" s="9" t="s">
        <v>48</v>
      </c>
      <c r="B234" s="46" t="s">
        <v>48</v>
      </c>
      <c r="C234" s="9" t="s">
        <v>48</v>
      </c>
      <c r="D234" s="9" t="s">
        <v>49</v>
      </c>
      <c r="E234" s="46" t="s">
        <v>356</v>
      </c>
      <c r="F234" s="9" t="s">
        <v>48</v>
      </c>
      <c r="G234" s="47" t="s">
        <v>248</v>
      </c>
      <c r="H234" s="46" t="s">
        <v>249</v>
      </c>
      <c r="I234" s="9">
        <v>5.0</v>
      </c>
      <c r="J234" s="9">
        <v>1.0</v>
      </c>
      <c r="K234" s="12">
        <v>0.13</v>
      </c>
    </row>
    <row r="235" ht="12.75" customHeight="1">
      <c r="A235" s="9" t="s">
        <v>48</v>
      </c>
      <c r="B235" s="46" t="s">
        <v>48</v>
      </c>
      <c r="C235" s="9" t="s">
        <v>48</v>
      </c>
      <c r="D235" s="9" t="s">
        <v>49</v>
      </c>
      <c r="E235" s="46" t="s">
        <v>357</v>
      </c>
      <c r="F235" s="9" t="s">
        <v>48</v>
      </c>
      <c r="G235" s="47" t="s">
        <v>245</v>
      </c>
      <c r="H235" s="46" t="s">
        <v>246</v>
      </c>
      <c r="I235" s="9">
        <v>8.0</v>
      </c>
      <c r="J235" s="9">
        <v>1.0</v>
      </c>
      <c r="K235" s="12">
        <v>1.75</v>
      </c>
    </row>
    <row r="236" ht="12.75" customHeight="1">
      <c r="A236" s="9" t="s">
        <v>48</v>
      </c>
      <c r="B236" s="46" t="s">
        <v>48</v>
      </c>
      <c r="C236" s="9" t="s">
        <v>48</v>
      </c>
      <c r="D236" s="9" t="s">
        <v>49</v>
      </c>
      <c r="E236" s="46" t="s">
        <v>358</v>
      </c>
      <c r="F236" s="9" t="s">
        <v>48</v>
      </c>
      <c r="G236" s="47" t="s">
        <v>245</v>
      </c>
      <c r="H236" s="46" t="s">
        <v>246</v>
      </c>
      <c r="I236" s="9">
        <v>8.0</v>
      </c>
      <c r="J236" s="9">
        <v>1.0</v>
      </c>
      <c r="K236" s="12">
        <v>0.88</v>
      </c>
    </row>
    <row r="237" ht="12.75" customHeight="1">
      <c r="A237" s="9" t="s">
        <v>48</v>
      </c>
      <c r="B237" s="46" t="s">
        <v>48</v>
      </c>
      <c r="C237" s="9" t="s">
        <v>48</v>
      </c>
      <c r="D237" s="9" t="s">
        <v>49</v>
      </c>
      <c r="E237" s="46" t="s">
        <v>359</v>
      </c>
      <c r="F237" s="9" t="s">
        <v>48</v>
      </c>
      <c r="G237" s="47" t="s">
        <v>245</v>
      </c>
      <c r="H237" s="46" t="s">
        <v>246</v>
      </c>
      <c r="I237" s="9">
        <v>1.0</v>
      </c>
      <c r="J237" s="9">
        <v>1.0</v>
      </c>
      <c r="K237" s="12">
        <v>1.32</v>
      </c>
    </row>
    <row r="238" ht="12.75" customHeight="1">
      <c r="A238" s="9" t="s">
        <v>48</v>
      </c>
      <c r="B238" s="46" t="s">
        <v>48</v>
      </c>
      <c r="C238" s="9" t="s">
        <v>48</v>
      </c>
      <c r="D238" s="9" t="s">
        <v>49</v>
      </c>
      <c r="E238" s="46" t="s">
        <v>360</v>
      </c>
      <c r="F238" s="9" t="s">
        <v>48</v>
      </c>
      <c r="G238" s="47" t="s">
        <v>245</v>
      </c>
      <c r="H238" s="46" t="s">
        <v>246</v>
      </c>
      <c r="I238" s="9">
        <v>7.0</v>
      </c>
      <c r="J238" s="9">
        <v>1.0</v>
      </c>
      <c r="K238" s="12">
        <v>1.19</v>
      </c>
    </row>
    <row r="239" ht="12.75" customHeight="1">
      <c r="A239" s="9" t="s">
        <v>48</v>
      </c>
      <c r="B239" s="46" t="s">
        <v>48</v>
      </c>
      <c r="C239" s="9" t="s">
        <v>48</v>
      </c>
      <c r="D239" s="9" t="s">
        <v>49</v>
      </c>
      <c r="E239" s="46" t="s">
        <v>361</v>
      </c>
      <c r="F239" s="9" t="s">
        <v>48</v>
      </c>
      <c r="G239" s="47" t="s">
        <v>245</v>
      </c>
      <c r="H239" s="46" t="s">
        <v>246</v>
      </c>
      <c r="I239" s="9">
        <v>7.0</v>
      </c>
      <c r="J239" s="9">
        <v>1.0</v>
      </c>
      <c r="K239" s="12">
        <v>1.0</v>
      </c>
    </row>
    <row r="240" ht="12.75" customHeight="1">
      <c r="A240" s="9" t="s">
        <v>48</v>
      </c>
      <c r="B240" s="46" t="s">
        <v>48</v>
      </c>
      <c r="C240" s="9" t="s">
        <v>48</v>
      </c>
      <c r="D240" s="9" t="s">
        <v>49</v>
      </c>
      <c r="E240" s="46" t="s">
        <v>362</v>
      </c>
      <c r="F240" s="9" t="s">
        <v>48</v>
      </c>
      <c r="G240" s="47" t="s">
        <v>245</v>
      </c>
      <c r="H240" s="46" t="s">
        <v>246</v>
      </c>
      <c r="I240" s="9">
        <v>7.0</v>
      </c>
      <c r="J240" s="9">
        <v>1.0</v>
      </c>
      <c r="K240" s="12">
        <v>1.19</v>
      </c>
    </row>
    <row r="241" ht="12.75" customHeight="1">
      <c r="A241" s="9" t="s">
        <v>48</v>
      </c>
      <c r="B241" s="46" t="s">
        <v>48</v>
      </c>
      <c r="C241" s="9" t="s">
        <v>48</v>
      </c>
      <c r="D241" s="9" t="s">
        <v>49</v>
      </c>
      <c r="E241" s="46" t="s">
        <v>363</v>
      </c>
      <c r="F241" s="9" t="s">
        <v>48</v>
      </c>
      <c r="G241" s="47" t="s">
        <v>245</v>
      </c>
      <c r="H241" s="46" t="s">
        <v>246</v>
      </c>
      <c r="I241" s="9">
        <v>7.0</v>
      </c>
      <c r="J241" s="9">
        <v>1.0</v>
      </c>
      <c r="K241" s="12">
        <v>1.0</v>
      </c>
    </row>
    <row r="242" ht="12.75" customHeight="1">
      <c r="A242" s="9" t="s">
        <v>48</v>
      </c>
      <c r="B242" s="46" t="s">
        <v>48</v>
      </c>
      <c r="C242" s="9" t="s">
        <v>48</v>
      </c>
      <c r="D242" s="9" t="s">
        <v>49</v>
      </c>
      <c r="E242" s="46" t="s">
        <v>364</v>
      </c>
      <c r="F242" s="9" t="s">
        <v>48</v>
      </c>
      <c r="G242" s="47" t="s">
        <v>245</v>
      </c>
      <c r="H242" s="46" t="s">
        <v>246</v>
      </c>
      <c r="I242" s="9">
        <v>7.0</v>
      </c>
      <c r="J242" s="9">
        <v>1.0</v>
      </c>
      <c r="K242" s="12">
        <v>1.32</v>
      </c>
    </row>
    <row r="243" ht="12.75" customHeight="1">
      <c r="A243" s="9" t="s">
        <v>48</v>
      </c>
      <c r="B243" s="46" t="s">
        <v>48</v>
      </c>
      <c r="C243" s="9" t="s">
        <v>48</v>
      </c>
      <c r="D243" s="9" t="s">
        <v>48</v>
      </c>
      <c r="E243" s="46" t="s">
        <v>48</v>
      </c>
      <c r="F243" s="9" t="s">
        <v>48</v>
      </c>
      <c r="G243" s="47" t="s">
        <v>48</v>
      </c>
      <c r="H243" s="46" t="s">
        <v>48</v>
      </c>
      <c r="I243" s="9"/>
      <c r="J243" s="9"/>
      <c r="K243" s="12"/>
    </row>
    <row r="244" ht="12.75" customHeight="1">
      <c r="A244" s="9" t="s">
        <v>48</v>
      </c>
      <c r="B244" s="46" t="s">
        <v>48</v>
      </c>
      <c r="C244" s="9" t="s">
        <v>48</v>
      </c>
      <c r="D244" s="9" t="s">
        <v>48</v>
      </c>
      <c r="E244" s="46" t="s">
        <v>48</v>
      </c>
      <c r="F244" s="9" t="s">
        <v>48</v>
      </c>
      <c r="G244" s="47" t="s">
        <v>48</v>
      </c>
      <c r="H244" s="46" t="s">
        <v>48</v>
      </c>
      <c r="I244" s="9"/>
      <c r="J244" s="9"/>
      <c r="K244" s="12"/>
    </row>
    <row r="245" ht="12.75" customHeight="1">
      <c r="A245" s="23" t="s">
        <v>32</v>
      </c>
      <c r="B245" s="23" t="s">
        <v>33</v>
      </c>
      <c r="C245" s="23" t="s">
        <v>34</v>
      </c>
      <c r="D245" s="23" t="s">
        <v>35</v>
      </c>
      <c r="E245" s="23" t="s">
        <v>36</v>
      </c>
      <c r="F245" s="23" t="s">
        <v>37</v>
      </c>
      <c r="G245" s="24" t="s">
        <v>38</v>
      </c>
      <c r="H245" s="23" t="s">
        <v>39</v>
      </c>
      <c r="I245" s="23" t="s">
        <v>40</v>
      </c>
      <c r="J245" s="23" t="s">
        <v>41</v>
      </c>
      <c r="K245" s="23" t="s">
        <v>42</v>
      </c>
      <c r="L245" s="25" t="s">
        <v>365</v>
      </c>
      <c r="M245" s="26" t="s">
        <v>44</v>
      </c>
      <c r="N245" s="27">
        <f>SUM(K246:K247)</f>
        <v>0</v>
      </c>
    </row>
    <row r="246" ht="12.75" customHeight="1">
      <c r="A246" s="9" t="s">
        <v>48</v>
      </c>
      <c r="B246" s="46" t="s">
        <v>48</v>
      </c>
      <c r="C246" s="9" t="s">
        <v>48</v>
      </c>
      <c r="D246" s="9" t="s">
        <v>48</v>
      </c>
      <c r="E246" s="46" t="s">
        <v>48</v>
      </c>
      <c r="F246" s="9" t="s">
        <v>48</v>
      </c>
      <c r="G246" s="47" t="s">
        <v>48</v>
      </c>
      <c r="H246" s="46" t="s">
        <v>48</v>
      </c>
      <c r="I246" s="9"/>
      <c r="J246" s="9"/>
      <c r="K246" s="12"/>
    </row>
    <row r="247" ht="12.75" customHeight="1">
      <c r="A247" s="9" t="s">
        <v>48</v>
      </c>
      <c r="B247" s="46" t="s">
        <v>48</v>
      </c>
      <c r="C247" s="9" t="s">
        <v>48</v>
      </c>
      <c r="D247" s="9" t="s">
        <v>48</v>
      </c>
      <c r="E247" s="46" t="s">
        <v>48</v>
      </c>
      <c r="F247" s="9" t="s">
        <v>48</v>
      </c>
      <c r="G247" s="47" t="s">
        <v>48</v>
      </c>
      <c r="H247" s="46" t="s">
        <v>48</v>
      </c>
      <c r="I247" s="9"/>
      <c r="J247" s="9"/>
      <c r="K247" s="12"/>
    </row>
    <row r="248" ht="12.75" customHeight="1">
      <c r="A248" s="23" t="s">
        <v>32</v>
      </c>
      <c r="B248" s="23" t="s">
        <v>33</v>
      </c>
      <c r="C248" s="23" t="s">
        <v>34</v>
      </c>
      <c r="D248" s="23" t="s">
        <v>35</v>
      </c>
      <c r="E248" s="23" t="s">
        <v>36</v>
      </c>
      <c r="F248" s="23" t="s">
        <v>37</v>
      </c>
      <c r="G248" s="24" t="s">
        <v>38</v>
      </c>
      <c r="H248" s="23" t="s">
        <v>39</v>
      </c>
      <c r="I248" s="23" t="s">
        <v>40</v>
      </c>
      <c r="J248" s="23" t="s">
        <v>41</v>
      </c>
      <c r="K248" s="23" t="s">
        <v>42</v>
      </c>
      <c r="L248" s="25" t="s">
        <v>366</v>
      </c>
      <c r="M248" s="26" t="s">
        <v>44</v>
      </c>
      <c r="N248" s="27">
        <f>SUM(K249:K250)</f>
        <v>0</v>
      </c>
    </row>
    <row r="249" ht="12.75" customHeight="1">
      <c r="A249" s="9" t="s">
        <v>48</v>
      </c>
      <c r="B249" s="46" t="s">
        <v>48</v>
      </c>
      <c r="C249" s="9" t="s">
        <v>48</v>
      </c>
      <c r="D249" s="9" t="s">
        <v>48</v>
      </c>
      <c r="E249" s="46" t="s">
        <v>48</v>
      </c>
      <c r="F249" s="9" t="s">
        <v>48</v>
      </c>
      <c r="G249" s="47" t="s">
        <v>48</v>
      </c>
      <c r="H249" s="46" t="s">
        <v>48</v>
      </c>
      <c r="I249" s="9"/>
      <c r="J249" s="9"/>
      <c r="K249" s="12"/>
    </row>
    <row r="250" ht="12.75" customHeight="1">
      <c r="A250" s="9" t="s">
        <v>48</v>
      </c>
      <c r="B250" s="46" t="s">
        <v>48</v>
      </c>
      <c r="C250" s="9" t="s">
        <v>48</v>
      </c>
      <c r="D250" s="9" t="s">
        <v>48</v>
      </c>
      <c r="E250" s="46" t="s">
        <v>48</v>
      </c>
      <c r="F250" s="9" t="s">
        <v>48</v>
      </c>
      <c r="G250" s="47" t="s">
        <v>48</v>
      </c>
      <c r="H250" s="46" t="s">
        <v>48</v>
      </c>
      <c r="I250" s="9"/>
      <c r="J250" s="9"/>
      <c r="K250" s="12"/>
    </row>
    <row r="251" ht="12.75" customHeight="1">
      <c r="A251" s="23" t="s">
        <v>32</v>
      </c>
      <c r="B251" s="23" t="s">
        <v>33</v>
      </c>
      <c r="C251" s="23" t="s">
        <v>34</v>
      </c>
      <c r="D251" s="23" t="s">
        <v>35</v>
      </c>
      <c r="E251" s="23" t="s">
        <v>36</v>
      </c>
      <c r="F251" s="23" t="s">
        <v>37</v>
      </c>
      <c r="G251" s="24" t="s">
        <v>38</v>
      </c>
      <c r="H251" s="23" t="s">
        <v>39</v>
      </c>
      <c r="I251" s="23" t="s">
        <v>40</v>
      </c>
      <c r="J251" s="23" t="s">
        <v>41</v>
      </c>
      <c r="K251" s="23" t="s">
        <v>42</v>
      </c>
      <c r="L251" s="25" t="s">
        <v>367</v>
      </c>
      <c r="M251" s="26" t="s">
        <v>44</v>
      </c>
      <c r="N251" s="27">
        <f>SUM(K252:K253)</f>
        <v>0</v>
      </c>
    </row>
    <row r="252" ht="12.75" customHeight="1">
      <c r="A252" s="9" t="s">
        <v>48</v>
      </c>
      <c r="B252" s="46" t="s">
        <v>48</v>
      </c>
      <c r="C252" s="9" t="s">
        <v>48</v>
      </c>
      <c r="D252" s="9" t="s">
        <v>48</v>
      </c>
      <c r="E252" s="46" t="s">
        <v>48</v>
      </c>
      <c r="F252" s="9" t="s">
        <v>48</v>
      </c>
      <c r="G252" s="47" t="s">
        <v>48</v>
      </c>
      <c r="H252" s="46" t="s">
        <v>48</v>
      </c>
      <c r="I252" s="9"/>
      <c r="J252" s="9"/>
      <c r="K252" s="12"/>
    </row>
    <row r="253" ht="12.75" customHeight="1">
      <c r="A253" s="9" t="s">
        <v>48</v>
      </c>
      <c r="B253" s="46" t="s">
        <v>48</v>
      </c>
      <c r="C253" s="9" t="s">
        <v>48</v>
      </c>
      <c r="D253" s="9" t="s">
        <v>48</v>
      </c>
      <c r="E253" s="46" t="s">
        <v>48</v>
      </c>
      <c r="F253" s="9" t="s">
        <v>48</v>
      </c>
      <c r="G253" s="47" t="s">
        <v>48</v>
      </c>
      <c r="H253" s="46" t="s">
        <v>48</v>
      </c>
      <c r="I253" s="9"/>
      <c r="J253" s="9"/>
      <c r="K253" s="12"/>
    </row>
    <row r="254" ht="12.75" customHeight="1">
      <c r="A254" s="23" t="s">
        <v>32</v>
      </c>
      <c r="B254" s="23" t="s">
        <v>33</v>
      </c>
      <c r="C254" s="23" t="s">
        <v>34</v>
      </c>
      <c r="D254" s="23" t="s">
        <v>35</v>
      </c>
      <c r="E254" s="23" t="s">
        <v>36</v>
      </c>
      <c r="F254" s="23" t="s">
        <v>37</v>
      </c>
      <c r="G254" s="24" t="s">
        <v>38</v>
      </c>
      <c r="H254" s="23" t="s">
        <v>39</v>
      </c>
      <c r="I254" s="23" t="s">
        <v>40</v>
      </c>
      <c r="J254" s="23" t="s">
        <v>41</v>
      </c>
      <c r="K254" s="23" t="s">
        <v>42</v>
      </c>
      <c r="L254" s="25" t="s">
        <v>368</v>
      </c>
      <c r="M254" s="26" t="s">
        <v>44</v>
      </c>
      <c r="N254" s="27">
        <f>SUM(K255:K256)</f>
        <v>0</v>
      </c>
    </row>
    <row r="255" ht="12.75" customHeight="1">
      <c r="A255" s="9" t="s">
        <v>48</v>
      </c>
      <c r="B255" s="46" t="s">
        <v>48</v>
      </c>
      <c r="C255" s="9" t="s">
        <v>48</v>
      </c>
      <c r="D255" s="9" t="s">
        <v>48</v>
      </c>
      <c r="E255" s="46" t="s">
        <v>48</v>
      </c>
      <c r="F255" s="9" t="s">
        <v>48</v>
      </c>
      <c r="G255" s="47" t="s">
        <v>48</v>
      </c>
      <c r="H255" s="46" t="s">
        <v>48</v>
      </c>
      <c r="I255" s="9"/>
      <c r="J255" s="9"/>
      <c r="K255" s="12"/>
    </row>
    <row r="256" ht="12.75" customHeight="1">
      <c r="A256" s="9" t="s">
        <v>48</v>
      </c>
      <c r="B256" s="46" t="s">
        <v>48</v>
      </c>
      <c r="C256" s="9" t="s">
        <v>48</v>
      </c>
      <c r="D256" s="9" t="s">
        <v>48</v>
      </c>
      <c r="E256" s="46" t="s">
        <v>48</v>
      </c>
      <c r="F256" s="9" t="s">
        <v>48</v>
      </c>
      <c r="G256" s="47" t="s">
        <v>48</v>
      </c>
      <c r="H256" s="46" t="s">
        <v>48</v>
      </c>
      <c r="I256" s="9"/>
      <c r="J256" s="9"/>
      <c r="K256" s="12"/>
    </row>
    <row r="257" ht="12.75" customHeight="1">
      <c r="A257" s="23" t="s">
        <v>32</v>
      </c>
      <c r="B257" s="23" t="s">
        <v>33</v>
      </c>
      <c r="C257" s="23" t="s">
        <v>34</v>
      </c>
      <c r="D257" s="23" t="s">
        <v>35</v>
      </c>
      <c r="E257" s="23" t="s">
        <v>36</v>
      </c>
      <c r="F257" s="23" t="s">
        <v>37</v>
      </c>
      <c r="G257" s="24" t="s">
        <v>38</v>
      </c>
      <c r="H257" s="23" t="s">
        <v>39</v>
      </c>
      <c r="I257" s="23" t="s">
        <v>40</v>
      </c>
      <c r="J257" s="23" t="s">
        <v>41</v>
      </c>
      <c r="K257" s="23" t="s">
        <v>42</v>
      </c>
      <c r="L257" s="25" t="s">
        <v>369</v>
      </c>
      <c r="M257" s="26" t="s">
        <v>44</v>
      </c>
      <c r="N257" s="27">
        <f>SUM(K258:K259)</f>
        <v>0</v>
      </c>
    </row>
    <row r="258" ht="12.75" customHeight="1">
      <c r="A258" s="9" t="s">
        <v>48</v>
      </c>
      <c r="B258" s="46" t="s">
        <v>48</v>
      </c>
      <c r="C258" s="9" t="s">
        <v>48</v>
      </c>
      <c r="D258" s="9" t="s">
        <v>48</v>
      </c>
      <c r="E258" s="46" t="s">
        <v>48</v>
      </c>
      <c r="F258" s="9" t="s">
        <v>48</v>
      </c>
      <c r="G258" s="47" t="s">
        <v>48</v>
      </c>
      <c r="H258" s="46" t="s">
        <v>48</v>
      </c>
      <c r="I258" s="9"/>
      <c r="J258" s="9"/>
      <c r="K258" s="12"/>
    </row>
    <row r="259" ht="12.75" customHeight="1">
      <c r="A259" s="53" t="s">
        <v>48</v>
      </c>
      <c r="B259" s="53" t="s">
        <v>48</v>
      </c>
      <c r="C259" s="53" t="s">
        <v>48</v>
      </c>
      <c r="D259" s="53" t="s">
        <v>48</v>
      </c>
      <c r="E259" s="53" t="s">
        <v>48</v>
      </c>
      <c r="F259" s="53" t="s">
        <v>48</v>
      </c>
      <c r="G259" s="54" t="s">
        <v>48</v>
      </c>
      <c r="H259" s="53" t="s">
        <v>48</v>
      </c>
      <c r="I259" s="53" t="s">
        <v>48</v>
      </c>
      <c r="J259" s="53" t="s">
        <v>48</v>
      </c>
      <c r="K259" s="53" t="s">
        <v>48</v>
      </c>
    </row>
    <row r="260" ht="12.75" customHeight="1">
      <c r="G260" s="5"/>
    </row>
    <row r="261" ht="12.75" customHeight="1">
      <c r="G261" s="5"/>
    </row>
    <row r="262" ht="12.75" customHeight="1">
      <c r="G262" s="5"/>
      <c r="L262" s="25" t="s">
        <v>370</v>
      </c>
      <c r="M262" s="26" t="s">
        <v>44</v>
      </c>
      <c r="N262" s="27">
        <f>SUM(N1:N260)</f>
        <v>100</v>
      </c>
    </row>
    <row r="263" ht="12.75" customHeight="1">
      <c r="G263" s="5"/>
    </row>
    <row r="264" ht="12.75" customHeight="1">
      <c r="G264" s="5"/>
    </row>
    <row r="265" ht="12.75" customHeight="1">
      <c r="G265" s="5"/>
    </row>
    <row r="266" ht="12.75" customHeight="1">
      <c r="G266" s="5"/>
    </row>
    <row r="267" ht="12.75" customHeight="1">
      <c r="G267" s="5"/>
    </row>
    <row r="268" ht="12.75" customHeight="1">
      <c r="G268" s="5"/>
    </row>
    <row r="269" ht="12.75" customHeight="1">
      <c r="G269" s="5"/>
    </row>
    <row r="270" ht="12.75" customHeight="1">
      <c r="G270" s="5"/>
    </row>
    <row r="271" ht="12.75" customHeight="1">
      <c r="G271" s="5"/>
    </row>
    <row r="272" ht="12.75" customHeight="1">
      <c r="G272" s="5"/>
    </row>
    <row r="273" ht="12.75" customHeight="1">
      <c r="G273" s="5"/>
    </row>
    <row r="274" ht="12.75" customHeight="1">
      <c r="G274" s="5"/>
    </row>
    <row r="275" ht="12.75" customHeight="1">
      <c r="G275" s="5"/>
    </row>
    <row r="276" ht="12.75" customHeight="1">
      <c r="G276" s="5"/>
    </row>
    <row r="277" ht="12.75" customHeight="1">
      <c r="G277" s="5"/>
    </row>
    <row r="278" ht="12.75" customHeight="1">
      <c r="G278" s="5"/>
    </row>
    <row r="279" ht="12.75" customHeight="1">
      <c r="G279" s="5"/>
    </row>
    <row r="280" ht="12.75" customHeight="1">
      <c r="G280" s="5"/>
    </row>
    <row r="281" ht="12.75" customHeight="1">
      <c r="G281" s="5"/>
    </row>
    <row r="282" ht="12.75" customHeight="1">
      <c r="G282" s="5"/>
    </row>
    <row r="283" ht="12.75" customHeight="1">
      <c r="G283" s="5"/>
    </row>
    <row r="284" ht="12.75" customHeight="1">
      <c r="G284" s="5"/>
    </row>
    <row r="285" ht="12.75" customHeight="1">
      <c r="G285" s="5"/>
    </row>
    <row r="286" ht="12.75" customHeight="1">
      <c r="G286" s="5"/>
    </row>
    <row r="287" ht="12.75" customHeight="1">
      <c r="G287" s="5"/>
    </row>
    <row r="288" ht="12.75" customHeight="1">
      <c r="G288" s="5"/>
    </row>
    <row r="289" ht="12.75" customHeight="1">
      <c r="G289" s="5"/>
    </row>
    <row r="290" ht="12.75" customHeight="1">
      <c r="G290" s="5"/>
    </row>
    <row r="291" ht="12.75" customHeight="1">
      <c r="G291" s="5"/>
    </row>
    <row r="292" ht="12.75" customHeight="1">
      <c r="G292" s="5"/>
    </row>
    <row r="293" ht="12.75" customHeight="1">
      <c r="G293" s="5"/>
    </row>
    <row r="294" ht="12.75" customHeight="1">
      <c r="G294" s="5"/>
    </row>
    <row r="295" ht="12.75" customHeight="1">
      <c r="G295" s="5"/>
    </row>
    <row r="296" ht="12.75" customHeight="1">
      <c r="G296" s="5"/>
    </row>
    <row r="297" ht="12.75" customHeight="1">
      <c r="G297" s="5"/>
    </row>
    <row r="298" ht="12.75" customHeight="1">
      <c r="G298" s="5"/>
    </row>
    <row r="299" ht="12.75" customHeight="1">
      <c r="G299" s="5"/>
    </row>
    <row r="300" ht="12.75" customHeight="1">
      <c r="G300" s="5"/>
    </row>
    <row r="301" ht="12.75" customHeight="1">
      <c r="G301" s="5"/>
    </row>
    <row r="302" ht="12.75" customHeight="1">
      <c r="G302" s="5"/>
    </row>
    <row r="303" ht="12.75" customHeight="1">
      <c r="G303" s="5"/>
    </row>
    <row r="304" ht="12.75" customHeight="1">
      <c r="G304" s="5"/>
    </row>
    <row r="305" ht="12.75" customHeight="1">
      <c r="G305" s="5"/>
    </row>
    <row r="306" ht="12.75" customHeight="1">
      <c r="G306" s="5"/>
    </row>
    <row r="307" ht="12.75" customHeight="1">
      <c r="G307" s="5"/>
    </row>
    <row r="308" ht="12.75" customHeight="1">
      <c r="G308" s="5"/>
    </row>
    <row r="309" ht="12.75" customHeight="1">
      <c r="G309" s="5"/>
    </row>
    <row r="310" ht="12.75" customHeight="1">
      <c r="G310" s="5"/>
    </row>
    <row r="311" ht="12.75" customHeight="1">
      <c r="G311" s="5"/>
    </row>
    <row r="312" ht="12.75" customHeight="1">
      <c r="G312" s="5"/>
    </row>
    <row r="313" ht="12.75" customHeight="1">
      <c r="G313" s="5"/>
    </row>
    <row r="314" ht="12.75" customHeight="1">
      <c r="G314" s="5"/>
    </row>
    <row r="315" ht="12.75" customHeight="1">
      <c r="G315" s="5"/>
    </row>
    <row r="316" ht="12.75" customHeight="1">
      <c r="G316" s="5"/>
    </row>
    <row r="317" ht="12.75" customHeight="1">
      <c r="G317" s="5"/>
    </row>
    <row r="318" ht="12.75" customHeight="1">
      <c r="G318" s="5"/>
    </row>
    <row r="319" ht="12.75" customHeight="1">
      <c r="G319" s="5"/>
    </row>
    <row r="320" ht="12.75" customHeight="1">
      <c r="G320" s="5"/>
    </row>
    <row r="321" ht="12.75" customHeight="1">
      <c r="G321" s="5"/>
    </row>
    <row r="322" ht="12.75" customHeight="1">
      <c r="G322" s="5"/>
    </row>
    <row r="323" ht="12.75" customHeight="1">
      <c r="G323" s="5"/>
    </row>
    <row r="324" ht="12.75" customHeight="1">
      <c r="G324" s="5"/>
    </row>
    <row r="325" ht="12.75" customHeight="1">
      <c r="G325" s="5"/>
    </row>
    <row r="326" ht="12.75" customHeight="1">
      <c r="G326" s="5"/>
    </row>
    <row r="327" ht="12.75" customHeight="1">
      <c r="G327" s="5"/>
    </row>
    <row r="328" ht="12.75" customHeight="1">
      <c r="G328" s="5"/>
    </row>
    <row r="329" ht="12.75" customHeight="1">
      <c r="G329" s="5"/>
    </row>
    <row r="330" ht="12.75" customHeight="1">
      <c r="G330" s="5"/>
    </row>
    <row r="331" ht="12.75" customHeight="1">
      <c r="G331" s="5"/>
    </row>
    <row r="332" ht="12.75" customHeight="1">
      <c r="G332" s="5"/>
    </row>
    <row r="333" ht="12.75" customHeight="1">
      <c r="G333" s="5"/>
    </row>
    <row r="334" ht="12.75" customHeight="1">
      <c r="G334" s="5"/>
    </row>
    <row r="335" ht="12.75" customHeight="1">
      <c r="G335" s="5"/>
    </row>
    <row r="336" ht="12.75" customHeight="1">
      <c r="G336" s="5"/>
    </row>
    <row r="337" ht="12.75" customHeight="1">
      <c r="G337" s="5"/>
    </row>
    <row r="338" ht="12.75" customHeight="1">
      <c r="G338" s="5"/>
    </row>
    <row r="339" ht="12.75" customHeight="1">
      <c r="G339" s="5"/>
    </row>
    <row r="340" ht="12.75" customHeight="1">
      <c r="G340" s="5"/>
    </row>
    <row r="341" ht="12.75" customHeight="1">
      <c r="G341" s="5"/>
    </row>
    <row r="342" ht="12.75" customHeight="1">
      <c r="G342" s="5"/>
    </row>
    <row r="343" ht="12.75" customHeight="1">
      <c r="G343" s="5"/>
    </row>
    <row r="344" ht="12.75" customHeight="1">
      <c r="G344" s="5"/>
    </row>
    <row r="345" ht="12.75" customHeight="1">
      <c r="G345" s="5"/>
    </row>
    <row r="346" ht="12.75" customHeight="1">
      <c r="G346" s="5"/>
    </row>
    <row r="347" ht="12.75" customHeight="1">
      <c r="G347" s="5"/>
    </row>
    <row r="348" ht="12.75" customHeight="1">
      <c r="G348" s="5"/>
    </row>
    <row r="349" ht="12.75" customHeight="1">
      <c r="G349" s="5"/>
    </row>
    <row r="350" ht="12.75" customHeight="1">
      <c r="G350" s="5"/>
    </row>
    <row r="351" ht="12.75" customHeight="1">
      <c r="G351" s="5"/>
    </row>
    <row r="352" ht="12.75" customHeight="1">
      <c r="G352" s="5"/>
    </row>
    <row r="353" ht="12.75" customHeight="1">
      <c r="G353" s="5"/>
    </row>
    <row r="354" ht="12.75" customHeight="1">
      <c r="G354" s="5"/>
    </row>
    <row r="355" ht="12.75" customHeight="1">
      <c r="G355" s="5"/>
    </row>
    <row r="356" ht="12.75" customHeight="1">
      <c r="G356" s="5"/>
    </row>
    <row r="357" ht="12.75" customHeight="1">
      <c r="G357" s="5"/>
    </row>
    <row r="358" ht="12.75" customHeight="1">
      <c r="G358" s="5"/>
    </row>
    <row r="359" ht="12.75" customHeight="1">
      <c r="G359" s="5"/>
    </row>
    <row r="360" ht="12.75" customHeight="1">
      <c r="G360" s="5"/>
    </row>
    <row r="361" ht="12.75" customHeight="1">
      <c r="G361" s="5"/>
    </row>
    <row r="362" ht="12.75" customHeight="1">
      <c r="G362" s="5"/>
    </row>
    <row r="363" ht="12.75" customHeight="1">
      <c r="G363" s="5"/>
    </row>
    <row r="364" ht="12.75" customHeight="1">
      <c r="G364" s="5"/>
    </row>
    <row r="365" ht="12.75" customHeight="1">
      <c r="G365" s="5"/>
    </row>
    <row r="366" ht="12.75" customHeight="1">
      <c r="G366" s="5"/>
    </row>
    <row r="367" ht="12.75" customHeight="1">
      <c r="G367" s="5"/>
    </row>
    <row r="368" ht="12.75" customHeight="1">
      <c r="G368" s="5"/>
    </row>
    <row r="369" ht="12.75" customHeight="1">
      <c r="G369" s="5"/>
    </row>
    <row r="370" ht="12.75" customHeight="1">
      <c r="G370" s="5"/>
    </row>
    <row r="371" ht="12.75" customHeight="1">
      <c r="G371" s="5"/>
    </row>
    <row r="372" ht="12.75" customHeight="1">
      <c r="G372" s="5"/>
    </row>
    <row r="373" ht="12.75" customHeight="1">
      <c r="G373" s="5"/>
    </row>
    <row r="374" ht="12.75" customHeight="1">
      <c r="G374" s="5"/>
    </row>
    <row r="375" ht="12.75" customHeight="1">
      <c r="G375" s="5"/>
    </row>
    <row r="376" ht="12.75" customHeight="1">
      <c r="G376" s="5"/>
    </row>
    <row r="377" ht="12.75" customHeight="1">
      <c r="G377" s="5"/>
    </row>
    <row r="378" ht="12.75" customHeight="1">
      <c r="G378" s="5"/>
    </row>
    <row r="379" ht="12.75" customHeight="1">
      <c r="G379" s="5"/>
    </row>
    <row r="380" ht="12.75" customHeight="1">
      <c r="G380" s="5"/>
    </row>
    <row r="381" ht="12.75" customHeight="1">
      <c r="G381" s="5"/>
    </row>
    <row r="382" ht="12.75" customHeight="1">
      <c r="G382" s="5"/>
    </row>
    <row r="383" ht="12.75" customHeight="1">
      <c r="G383" s="5"/>
    </row>
    <row r="384" ht="12.75" customHeight="1">
      <c r="G384" s="5"/>
    </row>
    <row r="385" ht="12.75" customHeight="1">
      <c r="G385" s="5"/>
    </row>
    <row r="386" ht="12.75" customHeight="1">
      <c r="G386" s="5"/>
    </row>
    <row r="387" ht="12.75" customHeight="1">
      <c r="G387" s="5"/>
    </row>
    <row r="388" ht="12.75" customHeight="1">
      <c r="G388" s="5"/>
    </row>
    <row r="389" ht="12.75" customHeight="1">
      <c r="G389" s="5"/>
    </row>
    <row r="390" ht="12.75" customHeight="1">
      <c r="G390" s="5"/>
    </row>
    <row r="391" ht="12.75" customHeight="1">
      <c r="G391" s="5"/>
    </row>
    <row r="392" ht="12.75" customHeight="1">
      <c r="G392" s="5"/>
    </row>
    <row r="393" ht="12.75" customHeight="1">
      <c r="G393" s="5"/>
    </row>
    <row r="394" ht="12.75" customHeight="1">
      <c r="G394" s="5"/>
    </row>
    <row r="395" ht="12.75" customHeight="1">
      <c r="G395" s="5"/>
    </row>
    <row r="396" ht="12.75" customHeight="1">
      <c r="G396" s="5"/>
    </row>
    <row r="397" ht="12.75" customHeight="1">
      <c r="G397" s="5"/>
    </row>
    <row r="398" ht="12.75" customHeight="1">
      <c r="G398" s="5"/>
    </row>
    <row r="399" ht="12.75" customHeight="1">
      <c r="G399" s="5"/>
    </row>
    <row r="400" ht="12.75" customHeight="1">
      <c r="G400" s="5"/>
    </row>
    <row r="401" ht="12.75" customHeight="1">
      <c r="G401" s="5"/>
    </row>
    <row r="402" ht="12.75" customHeight="1">
      <c r="G402" s="5"/>
    </row>
    <row r="403" ht="12.75" customHeight="1">
      <c r="G403" s="5"/>
    </row>
    <row r="404" ht="12.75" customHeight="1">
      <c r="G404" s="5"/>
    </row>
    <row r="405" ht="12.75" customHeight="1">
      <c r="G405" s="5"/>
    </row>
    <row r="406" ht="12.75" customHeight="1">
      <c r="G406" s="5"/>
    </row>
    <row r="407" ht="12.75" customHeight="1">
      <c r="G407" s="5"/>
    </row>
    <row r="408" ht="12.75" customHeight="1">
      <c r="G408" s="5"/>
    </row>
    <row r="409" ht="12.75" customHeight="1">
      <c r="G409" s="5"/>
    </row>
    <row r="410" ht="12.75" customHeight="1">
      <c r="G410" s="5"/>
    </row>
    <row r="411" ht="12.75" customHeight="1">
      <c r="G411" s="5"/>
    </row>
    <row r="412" ht="12.75" customHeight="1">
      <c r="G412" s="5"/>
    </row>
    <row r="413" ht="12.75" customHeight="1">
      <c r="G413" s="5"/>
    </row>
    <row r="414" ht="12.75" customHeight="1">
      <c r="G414" s="5"/>
    </row>
    <row r="415" ht="12.75" customHeight="1">
      <c r="G415" s="5"/>
    </row>
    <row r="416" ht="12.75" customHeight="1">
      <c r="G416" s="5"/>
    </row>
    <row r="417" ht="12.75" customHeight="1">
      <c r="G417" s="5"/>
    </row>
    <row r="418" ht="12.75" customHeight="1">
      <c r="G418" s="5"/>
    </row>
    <row r="419" ht="12.75" customHeight="1">
      <c r="G419" s="5"/>
    </row>
    <row r="420" ht="12.75" customHeight="1">
      <c r="G420" s="5"/>
    </row>
    <row r="421" ht="12.75" customHeight="1">
      <c r="G421" s="5"/>
    </row>
    <row r="422" ht="12.75" customHeight="1">
      <c r="G422" s="5"/>
    </row>
    <row r="423" ht="12.75" customHeight="1">
      <c r="G423" s="5"/>
    </row>
    <row r="424" ht="12.75" customHeight="1">
      <c r="G424" s="5"/>
    </row>
    <row r="425" ht="12.75" customHeight="1">
      <c r="G425" s="5"/>
    </row>
    <row r="426" ht="12.75" customHeight="1">
      <c r="G426" s="5"/>
    </row>
    <row r="427" ht="12.75" customHeight="1">
      <c r="G427" s="5"/>
    </row>
    <row r="428" ht="12.75" customHeight="1">
      <c r="G428" s="5"/>
    </row>
    <row r="429" ht="12.75" customHeight="1">
      <c r="G429" s="5"/>
    </row>
    <row r="430" ht="12.75" customHeight="1">
      <c r="G430" s="5"/>
    </row>
    <row r="431" ht="12.75" customHeight="1">
      <c r="G431" s="5"/>
    </row>
    <row r="432" ht="12.75" customHeight="1">
      <c r="G432" s="5"/>
    </row>
    <row r="433" ht="12.75" customHeight="1">
      <c r="G433" s="5"/>
    </row>
    <row r="434" ht="12.75" customHeight="1">
      <c r="G434" s="5"/>
    </row>
    <row r="435" ht="12.75" customHeight="1">
      <c r="G435" s="5"/>
    </row>
    <row r="436" ht="12.75" customHeight="1">
      <c r="G436" s="5"/>
    </row>
    <row r="437" ht="12.75" customHeight="1">
      <c r="G437" s="5"/>
    </row>
    <row r="438" ht="12.75" customHeight="1">
      <c r="G438" s="5"/>
    </row>
    <row r="439" ht="12.75" customHeight="1">
      <c r="G439" s="5"/>
    </row>
    <row r="440" ht="12.75" customHeight="1">
      <c r="G440" s="5"/>
    </row>
    <row r="441" ht="12.75" customHeight="1">
      <c r="G441" s="5"/>
    </row>
    <row r="442" ht="12.75" customHeight="1">
      <c r="G442" s="5"/>
    </row>
    <row r="443" ht="12.75" customHeight="1">
      <c r="G443" s="5"/>
    </row>
    <row r="444" ht="12.75" customHeight="1">
      <c r="G444" s="5"/>
    </row>
    <row r="445" ht="12.75" customHeight="1">
      <c r="G445" s="5"/>
    </row>
    <row r="446" ht="12.75" customHeight="1">
      <c r="G446" s="5"/>
    </row>
    <row r="447" ht="12.75" customHeight="1">
      <c r="G447" s="5"/>
    </row>
    <row r="448" ht="12.75" customHeight="1">
      <c r="G448" s="5"/>
    </row>
    <row r="449" ht="12.75" customHeight="1">
      <c r="G449" s="5"/>
    </row>
    <row r="450" ht="12.75" customHeight="1">
      <c r="G450" s="5"/>
    </row>
    <row r="451" ht="12.75" customHeight="1">
      <c r="G451" s="5"/>
    </row>
    <row r="452" ht="12.75" customHeight="1">
      <c r="G452" s="5"/>
    </row>
    <row r="453" ht="12.75" customHeight="1">
      <c r="G453" s="5"/>
    </row>
    <row r="454" ht="12.75" customHeight="1">
      <c r="G454" s="5"/>
    </row>
    <row r="455" ht="12.75" customHeight="1">
      <c r="G455" s="5"/>
    </row>
    <row r="456" ht="12.75" customHeight="1">
      <c r="G456" s="5"/>
    </row>
    <row r="457" ht="12.75" customHeight="1">
      <c r="G457" s="5"/>
    </row>
    <row r="458" ht="12.75" customHeight="1">
      <c r="G458" s="5"/>
    </row>
    <row r="459" ht="12.75" customHeight="1">
      <c r="G459" s="5"/>
    </row>
    <row r="460" ht="12.75" customHeight="1">
      <c r="G460" s="5"/>
    </row>
    <row r="461" ht="12.75" customHeight="1">
      <c r="G461" s="5"/>
    </row>
    <row r="462" ht="12.75" customHeight="1">
      <c r="G462" s="5"/>
    </row>
    <row r="463" ht="12.75" customHeight="1">
      <c r="G463" s="5"/>
    </row>
    <row r="464" ht="12.75" customHeight="1">
      <c r="G464" s="5"/>
    </row>
    <row r="465" ht="12.75" customHeight="1">
      <c r="G465" s="5"/>
    </row>
    <row r="466" ht="12.75" customHeight="1">
      <c r="G466" s="5"/>
    </row>
    <row r="467" ht="12.75" customHeight="1">
      <c r="G467" s="5"/>
    </row>
    <row r="468" ht="12.75" customHeight="1">
      <c r="G468" s="5"/>
    </row>
    <row r="469" ht="12.75" customHeight="1">
      <c r="G469" s="5"/>
    </row>
    <row r="470" ht="12.75" customHeight="1">
      <c r="G470" s="5"/>
    </row>
    <row r="471" ht="12.75" customHeight="1">
      <c r="G471" s="5"/>
    </row>
    <row r="472" ht="12.75" customHeight="1">
      <c r="G472" s="5"/>
    </row>
    <row r="473" ht="12.75" customHeight="1">
      <c r="G473" s="5"/>
    </row>
    <row r="474" ht="12.75" customHeight="1">
      <c r="G474" s="5"/>
    </row>
    <row r="475" ht="12.75" customHeight="1">
      <c r="G475" s="5"/>
    </row>
    <row r="476" ht="12.75" customHeight="1">
      <c r="G476" s="5"/>
    </row>
    <row r="477" ht="12.75" customHeight="1">
      <c r="G477" s="5"/>
    </row>
    <row r="478" ht="12.75" customHeight="1">
      <c r="G478" s="5"/>
    </row>
    <row r="479" ht="12.75" customHeight="1">
      <c r="G479" s="5"/>
    </row>
    <row r="480" ht="12.75" customHeight="1">
      <c r="G480" s="5"/>
    </row>
    <row r="481" ht="12.75" customHeight="1">
      <c r="G481" s="5"/>
    </row>
    <row r="482" ht="12.75" customHeight="1">
      <c r="G482" s="5"/>
    </row>
    <row r="483" ht="12.75" customHeight="1">
      <c r="G483" s="5"/>
    </row>
    <row r="484" ht="12.75" customHeight="1">
      <c r="G484" s="5"/>
    </row>
    <row r="485" ht="12.75" customHeight="1">
      <c r="G485" s="5"/>
    </row>
    <row r="486" ht="12.75" customHeight="1">
      <c r="G486" s="5"/>
    </row>
    <row r="487" ht="12.75" customHeight="1">
      <c r="G487" s="5"/>
    </row>
    <row r="488" ht="12.75" customHeight="1">
      <c r="G488" s="5"/>
    </row>
    <row r="489" ht="12.75" customHeight="1">
      <c r="G489" s="5"/>
    </row>
    <row r="490" ht="12.75" customHeight="1">
      <c r="G490" s="5"/>
    </row>
    <row r="491" ht="12.75" customHeight="1">
      <c r="G491" s="5"/>
    </row>
    <row r="492" ht="12.75" customHeight="1">
      <c r="G492" s="5"/>
    </row>
    <row r="493" ht="12.75" customHeight="1">
      <c r="G493" s="5"/>
    </row>
    <row r="494" ht="12.75" customHeight="1">
      <c r="G494" s="5"/>
    </row>
    <row r="495" ht="12.75" customHeight="1">
      <c r="G495" s="5"/>
    </row>
    <row r="496" ht="12.75" customHeight="1">
      <c r="G496" s="5"/>
    </row>
    <row r="497" ht="12.75" customHeight="1">
      <c r="G497" s="5"/>
    </row>
    <row r="498" ht="12.75" customHeight="1">
      <c r="G498" s="5"/>
    </row>
    <row r="499" ht="12.75" customHeight="1">
      <c r="G499" s="5"/>
    </row>
    <row r="500" ht="12.75" customHeight="1">
      <c r="G500" s="5"/>
    </row>
    <row r="501" ht="12.75" customHeight="1">
      <c r="G501" s="5"/>
    </row>
    <row r="502" ht="12.75" customHeight="1">
      <c r="G502" s="5"/>
    </row>
    <row r="503" ht="12.75" customHeight="1">
      <c r="G503" s="5"/>
    </row>
    <row r="504" ht="12.75" customHeight="1">
      <c r="G504" s="5"/>
    </row>
    <row r="505" ht="12.75" customHeight="1">
      <c r="G505" s="5"/>
    </row>
    <row r="506" ht="12.75" customHeight="1">
      <c r="G506" s="5"/>
    </row>
    <row r="507" ht="12.75" customHeight="1">
      <c r="G507" s="5"/>
    </row>
    <row r="508" ht="12.75" customHeight="1">
      <c r="G508" s="5"/>
    </row>
    <row r="509" ht="12.75" customHeight="1">
      <c r="G509" s="5"/>
    </row>
    <row r="510" ht="12.75" customHeight="1">
      <c r="G510" s="5"/>
    </row>
    <row r="511" ht="12.75" customHeight="1">
      <c r="G511" s="5"/>
    </row>
    <row r="512" ht="12.75" customHeight="1">
      <c r="G512" s="5"/>
    </row>
    <row r="513" ht="12.75" customHeight="1">
      <c r="G513" s="5"/>
    </row>
    <row r="514" ht="12.75" customHeight="1">
      <c r="G514" s="5"/>
    </row>
    <row r="515" ht="12.75" customHeight="1">
      <c r="G515" s="5"/>
    </row>
    <row r="516" ht="12.75" customHeight="1">
      <c r="G516" s="5"/>
    </row>
    <row r="517" ht="12.75" customHeight="1">
      <c r="G517" s="5"/>
    </row>
    <row r="518" ht="12.75" customHeight="1">
      <c r="G518" s="5"/>
    </row>
    <row r="519" ht="12.75" customHeight="1">
      <c r="G519" s="5"/>
    </row>
    <row r="520" ht="12.75" customHeight="1">
      <c r="G520" s="5"/>
    </row>
    <row r="521" ht="12.75" customHeight="1">
      <c r="G521" s="5"/>
    </row>
    <row r="522" ht="12.75" customHeight="1">
      <c r="G522" s="5"/>
    </row>
    <row r="523" ht="12.75" customHeight="1">
      <c r="G523" s="5"/>
    </row>
    <row r="524" ht="12.75" customHeight="1">
      <c r="G524" s="5"/>
    </row>
    <row r="525" ht="12.75" customHeight="1">
      <c r="G525" s="5"/>
    </row>
    <row r="526" ht="12.75" customHeight="1">
      <c r="G526" s="5"/>
    </row>
    <row r="527" ht="12.75" customHeight="1">
      <c r="G527" s="5"/>
    </row>
    <row r="528" ht="12.75" customHeight="1">
      <c r="G528" s="5"/>
    </row>
    <row r="529" ht="12.75" customHeight="1">
      <c r="G529" s="5"/>
    </row>
    <row r="530" ht="12.75" customHeight="1">
      <c r="G530" s="5"/>
    </row>
    <row r="531" ht="12.75" customHeight="1">
      <c r="G531" s="5"/>
    </row>
    <row r="532" ht="12.75" customHeight="1">
      <c r="G532" s="5"/>
    </row>
    <row r="533" ht="12.75" customHeight="1">
      <c r="G533" s="5"/>
    </row>
    <row r="534" ht="12.75" customHeight="1">
      <c r="G534" s="5"/>
    </row>
    <row r="535" ht="12.75" customHeight="1">
      <c r="G535" s="5"/>
    </row>
    <row r="536" ht="12.75" customHeight="1">
      <c r="G536" s="5"/>
    </row>
    <row r="537" ht="12.75" customHeight="1">
      <c r="G537" s="5"/>
    </row>
    <row r="538" ht="12.75" customHeight="1">
      <c r="G538" s="5"/>
    </row>
    <row r="539" ht="12.75" customHeight="1">
      <c r="G539" s="5"/>
    </row>
    <row r="540" ht="12.75" customHeight="1">
      <c r="G540" s="5"/>
    </row>
    <row r="541" ht="12.75" customHeight="1">
      <c r="G541" s="5"/>
    </row>
    <row r="542" ht="12.75" customHeight="1">
      <c r="G542" s="5"/>
    </row>
    <row r="543" ht="12.75" customHeight="1">
      <c r="G543" s="5"/>
    </row>
    <row r="544" ht="12.75" customHeight="1">
      <c r="G544" s="5"/>
    </row>
    <row r="545" ht="12.75" customHeight="1">
      <c r="G545" s="5"/>
    </row>
    <row r="546" ht="12.75" customHeight="1">
      <c r="G546" s="5"/>
    </row>
    <row r="547" ht="12.75" customHeight="1">
      <c r="G547" s="5"/>
    </row>
    <row r="548" ht="12.75" customHeight="1">
      <c r="G548" s="5"/>
    </row>
    <row r="549" ht="12.75" customHeight="1">
      <c r="G549" s="5"/>
    </row>
    <row r="550" ht="12.75" customHeight="1">
      <c r="G550" s="5"/>
    </row>
    <row r="551" ht="12.75" customHeight="1">
      <c r="G551" s="5"/>
    </row>
    <row r="552" ht="12.75" customHeight="1">
      <c r="G552" s="5"/>
    </row>
    <row r="553" ht="12.75" customHeight="1">
      <c r="G553" s="5"/>
    </row>
    <row r="554" ht="12.75" customHeight="1">
      <c r="G554" s="5"/>
    </row>
    <row r="555" ht="12.75" customHeight="1">
      <c r="G555" s="5"/>
    </row>
    <row r="556" ht="12.75" customHeight="1">
      <c r="G556" s="5"/>
    </row>
    <row r="557" ht="12.75" customHeight="1">
      <c r="G557" s="5"/>
    </row>
    <row r="558" ht="12.75" customHeight="1">
      <c r="G558" s="5"/>
    </row>
    <row r="559" ht="12.75" customHeight="1">
      <c r="G559" s="5"/>
    </row>
    <row r="560" ht="12.75" customHeight="1">
      <c r="G560" s="5"/>
    </row>
    <row r="561" ht="12.75" customHeight="1">
      <c r="G561" s="5"/>
    </row>
    <row r="562" ht="12.75" customHeight="1">
      <c r="G562" s="5"/>
    </row>
    <row r="563" ht="12.75" customHeight="1">
      <c r="G563" s="5"/>
    </row>
    <row r="564" ht="12.75" customHeight="1">
      <c r="G564" s="5"/>
    </row>
    <row r="565" ht="12.75" customHeight="1">
      <c r="G565" s="5"/>
    </row>
    <row r="566" ht="12.75" customHeight="1">
      <c r="G566" s="5"/>
    </row>
    <row r="567" ht="12.75" customHeight="1">
      <c r="G567" s="5"/>
    </row>
    <row r="568" ht="12.75" customHeight="1">
      <c r="G568" s="5"/>
    </row>
    <row r="569" ht="12.75" customHeight="1">
      <c r="G569" s="5"/>
    </row>
    <row r="570" ht="12.75" customHeight="1">
      <c r="G570" s="5"/>
    </row>
    <row r="571" ht="12.75" customHeight="1">
      <c r="G571" s="5"/>
    </row>
    <row r="572" ht="12.75" customHeight="1">
      <c r="G572" s="5"/>
    </row>
    <row r="573" ht="12.75" customHeight="1">
      <c r="G573" s="5"/>
    </row>
    <row r="574" ht="12.75" customHeight="1">
      <c r="G574" s="5"/>
    </row>
    <row r="575" ht="12.75" customHeight="1">
      <c r="G575" s="5"/>
    </row>
    <row r="576" ht="12.75" customHeight="1">
      <c r="G576" s="5"/>
    </row>
    <row r="577" ht="12.75" customHeight="1">
      <c r="G577" s="5"/>
    </row>
    <row r="578" ht="12.75" customHeight="1">
      <c r="G578" s="5"/>
    </row>
    <row r="579" ht="12.75" customHeight="1">
      <c r="G579" s="5"/>
    </row>
    <row r="580" ht="12.75" customHeight="1">
      <c r="G580" s="5"/>
    </row>
    <row r="581" ht="12.75" customHeight="1">
      <c r="G581" s="5"/>
    </row>
    <row r="582" ht="12.75" customHeight="1">
      <c r="G582" s="5"/>
    </row>
    <row r="583" ht="12.75" customHeight="1">
      <c r="G583" s="5"/>
    </row>
    <row r="584" ht="12.75" customHeight="1">
      <c r="G584" s="5"/>
    </row>
    <row r="585" ht="12.75" customHeight="1">
      <c r="G585" s="5"/>
    </row>
    <row r="586" ht="12.75" customHeight="1">
      <c r="G586" s="5"/>
    </row>
    <row r="587" ht="12.75" customHeight="1">
      <c r="G587" s="5"/>
    </row>
    <row r="588" ht="12.75" customHeight="1">
      <c r="G588" s="5"/>
    </row>
    <row r="589" ht="12.75" customHeight="1">
      <c r="G589" s="5"/>
    </row>
    <row r="590" ht="12.75" customHeight="1">
      <c r="G590" s="5"/>
    </row>
    <row r="591" ht="12.75" customHeight="1">
      <c r="G591" s="5"/>
    </row>
    <row r="592" ht="12.75" customHeight="1">
      <c r="G592" s="5"/>
    </row>
    <row r="593" ht="12.75" customHeight="1">
      <c r="G593" s="5"/>
    </row>
    <row r="594" ht="12.75" customHeight="1">
      <c r="G594" s="5"/>
    </row>
    <row r="595" ht="12.75" customHeight="1">
      <c r="G595" s="5"/>
    </row>
    <row r="596" ht="12.75" customHeight="1">
      <c r="G596" s="5"/>
    </row>
    <row r="597" ht="12.75" customHeight="1">
      <c r="G597" s="5"/>
    </row>
    <row r="598" ht="12.75" customHeight="1">
      <c r="G598" s="5"/>
    </row>
    <row r="599" ht="12.75" customHeight="1">
      <c r="G599" s="5"/>
    </row>
    <row r="600" ht="12.75" customHeight="1">
      <c r="G600" s="5"/>
    </row>
    <row r="601" ht="12.75" customHeight="1">
      <c r="G601" s="5"/>
    </row>
    <row r="602" ht="12.75" customHeight="1">
      <c r="G602" s="5"/>
    </row>
    <row r="603" ht="12.75" customHeight="1">
      <c r="G603" s="5"/>
    </row>
    <row r="604" ht="12.75" customHeight="1">
      <c r="G604" s="5"/>
    </row>
    <row r="605" ht="12.75" customHeight="1">
      <c r="G605" s="5"/>
    </row>
    <row r="606" ht="12.75" customHeight="1">
      <c r="G606" s="5"/>
    </row>
    <row r="607" ht="12.75" customHeight="1">
      <c r="G607" s="5"/>
    </row>
    <row r="608" ht="12.75" customHeight="1">
      <c r="G608" s="5"/>
    </row>
    <row r="609" ht="12.75" customHeight="1">
      <c r="G609" s="5"/>
    </row>
    <row r="610" ht="12.75" customHeight="1">
      <c r="G610" s="5"/>
    </row>
    <row r="611" ht="12.75" customHeight="1">
      <c r="G611" s="5"/>
    </row>
    <row r="612" ht="12.75" customHeight="1">
      <c r="G612" s="5"/>
    </row>
    <row r="613" ht="12.75" customHeight="1">
      <c r="G613" s="5"/>
    </row>
    <row r="614" ht="12.75" customHeight="1">
      <c r="G614" s="5"/>
    </row>
    <row r="615" ht="12.75" customHeight="1">
      <c r="G615" s="5"/>
    </row>
    <row r="616" ht="12.75" customHeight="1">
      <c r="G616" s="5"/>
    </row>
    <row r="617" ht="12.75" customHeight="1">
      <c r="G617" s="5"/>
    </row>
    <row r="618" ht="12.75" customHeight="1">
      <c r="G618" s="5"/>
    </row>
    <row r="619" ht="12.75" customHeight="1">
      <c r="G619" s="5"/>
    </row>
    <row r="620" ht="12.75" customHeight="1">
      <c r="G620" s="5"/>
    </row>
    <row r="621" ht="12.75" customHeight="1">
      <c r="G621" s="5"/>
    </row>
    <row r="622" ht="12.75" customHeight="1">
      <c r="G622" s="5"/>
    </row>
    <row r="623" ht="12.75" customHeight="1">
      <c r="G623" s="5"/>
    </row>
    <row r="624" ht="12.75" customHeight="1">
      <c r="G624" s="5"/>
    </row>
    <row r="625" ht="12.75" customHeight="1">
      <c r="G625" s="5"/>
    </row>
    <row r="626" ht="12.75" customHeight="1">
      <c r="G626" s="5"/>
    </row>
    <row r="627" ht="12.75" customHeight="1">
      <c r="G627" s="5"/>
    </row>
    <row r="628" ht="12.75" customHeight="1">
      <c r="G628" s="5"/>
    </row>
    <row r="629" ht="12.75" customHeight="1">
      <c r="G629" s="5"/>
    </row>
    <row r="630" ht="12.75" customHeight="1">
      <c r="G630" s="5"/>
    </row>
    <row r="631" ht="12.75" customHeight="1">
      <c r="G631" s="5"/>
    </row>
    <row r="632" ht="12.75" customHeight="1">
      <c r="G632" s="5"/>
    </row>
    <row r="633" ht="12.75" customHeight="1">
      <c r="G633" s="5"/>
    </row>
    <row r="634" ht="12.75" customHeight="1">
      <c r="G634" s="5"/>
    </row>
    <row r="635" ht="12.75" customHeight="1">
      <c r="G635" s="5"/>
    </row>
    <row r="636" ht="12.75" customHeight="1">
      <c r="G636" s="5"/>
    </row>
    <row r="637" ht="12.75" customHeight="1">
      <c r="G637" s="5"/>
    </row>
    <row r="638" ht="12.75" customHeight="1">
      <c r="G638" s="5"/>
    </row>
    <row r="639" ht="12.75" customHeight="1">
      <c r="G639" s="5"/>
    </row>
    <row r="640" ht="12.75" customHeight="1">
      <c r="G640" s="5"/>
    </row>
    <row r="641" ht="12.75" customHeight="1">
      <c r="G641" s="5"/>
    </row>
    <row r="642" ht="12.75" customHeight="1">
      <c r="G642" s="5"/>
    </row>
    <row r="643" ht="12.75" customHeight="1">
      <c r="G643" s="5"/>
    </row>
    <row r="644" ht="12.75" customHeight="1">
      <c r="G644" s="5"/>
    </row>
    <row r="645" ht="12.75" customHeight="1">
      <c r="G645" s="5"/>
    </row>
    <row r="646" ht="12.75" customHeight="1">
      <c r="G646" s="5"/>
    </row>
    <row r="647" ht="12.75" customHeight="1">
      <c r="G647" s="5"/>
    </row>
    <row r="648" ht="12.75" customHeight="1">
      <c r="G648" s="5"/>
    </row>
    <row r="649" ht="12.75" customHeight="1">
      <c r="G649" s="5"/>
    </row>
    <row r="650" ht="12.75" customHeight="1">
      <c r="G650" s="5"/>
    </row>
    <row r="651" ht="12.75" customHeight="1">
      <c r="G651" s="5"/>
    </row>
    <row r="652" ht="12.75" customHeight="1">
      <c r="G652" s="5"/>
    </row>
    <row r="653" ht="12.75" customHeight="1">
      <c r="G653" s="5"/>
    </row>
    <row r="654" ht="12.75" customHeight="1">
      <c r="G654" s="5"/>
    </row>
    <row r="655" ht="12.75" customHeight="1">
      <c r="G655" s="5"/>
    </row>
    <row r="656" ht="12.75" customHeight="1">
      <c r="G656" s="5"/>
    </row>
    <row r="657" ht="12.75" customHeight="1">
      <c r="G657" s="5"/>
    </row>
    <row r="658" ht="12.75" customHeight="1">
      <c r="G658" s="5"/>
    </row>
    <row r="659" ht="12.75" customHeight="1">
      <c r="G659" s="5"/>
    </row>
    <row r="660" ht="12.75" customHeight="1">
      <c r="G660" s="5"/>
    </row>
    <row r="661" ht="12.75" customHeight="1">
      <c r="G661" s="5"/>
    </row>
    <row r="662" ht="12.75" customHeight="1">
      <c r="G662" s="5"/>
    </row>
    <row r="663" ht="12.75" customHeight="1">
      <c r="G663" s="5"/>
    </row>
    <row r="664" ht="12.75" customHeight="1">
      <c r="G664" s="5"/>
    </row>
    <row r="665" ht="12.75" customHeight="1">
      <c r="G665" s="5"/>
    </row>
    <row r="666" ht="12.75" customHeight="1">
      <c r="G666" s="5"/>
    </row>
    <row r="667" ht="12.75" customHeight="1">
      <c r="G667" s="5"/>
    </row>
    <row r="668" ht="12.75" customHeight="1">
      <c r="G668" s="5"/>
    </row>
    <row r="669" ht="12.75" customHeight="1">
      <c r="G669" s="5"/>
    </row>
    <row r="670" ht="12.75" customHeight="1">
      <c r="G670" s="5"/>
    </row>
    <row r="671" ht="12.75" customHeight="1">
      <c r="G671" s="5"/>
    </row>
    <row r="672" ht="12.75" customHeight="1">
      <c r="G672" s="5"/>
    </row>
    <row r="673" ht="12.75" customHeight="1">
      <c r="G673" s="5"/>
    </row>
    <row r="674" ht="12.75" customHeight="1">
      <c r="G674" s="5"/>
    </row>
    <row r="675" ht="12.75" customHeight="1">
      <c r="G675" s="5"/>
    </row>
    <row r="676" ht="12.75" customHeight="1">
      <c r="G676" s="5"/>
    </row>
    <row r="677" ht="12.75" customHeight="1">
      <c r="G677" s="5"/>
    </row>
    <row r="678" ht="12.75" customHeight="1">
      <c r="G678" s="5"/>
    </row>
    <row r="679" ht="12.75" customHeight="1">
      <c r="G679" s="5"/>
    </row>
    <row r="680" ht="12.75" customHeight="1">
      <c r="G680" s="5"/>
    </row>
    <row r="681" ht="12.75" customHeight="1">
      <c r="G681" s="5"/>
    </row>
    <row r="682" ht="12.75" customHeight="1">
      <c r="G682" s="5"/>
    </row>
    <row r="683" ht="12.75" customHeight="1">
      <c r="G683" s="5"/>
    </row>
    <row r="684" ht="12.75" customHeight="1">
      <c r="G684" s="5"/>
    </row>
    <row r="685" ht="12.75" customHeight="1">
      <c r="G685" s="5"/>
    </row>
    <row r="686" ht="12.75" customHeight="1">
      <c r="G686" s="5"/>
    </row>
    <row r="687" ht="12.75" customHeight="1">
      <c r="G687" s="5"/>
    </row>
    <row r="688" ht="12.75" customHeight="1">
      <c r="G688" s="5"/>
    </row>
    <row r="689" ht="12.75" customHeight="1">
      <c r="G689" s="5"/>
    </row>
    <row r="690" ht="12.75" customHeight="1">
      <c r="G690" s="5"/>
    </row>
    <row r="691" ht="12.75" customHeight="1">
      <c r="G691" s="5"/>
    </row>
    <row r="692" ht="12.75" customHeight="1">
      <c r="G692" s="5"/>
    </row>
    <row r="693" ht="12.75" customHeight="1">
      <c r="G693" s="5"/>
    </row>
    <row r="694" ht="12.75" customHeight="1">
      <c r="G694" s="5"/>
    </row>
    <row r="695" ht="12.75" customHeight="1">
      <c r="G695" s="5"/>
    </row>
    <row r="696" ht="12.75" customHeight="1">
      <c r="G696" s="5"/>
    </row>
    <row r="697" ht="12.75" customHeight="1">
      <c r="G697" s="5"/>
    </row>
    <row r="698" ht="12.75" customHeight="1">
      <c r="G698" s="5"/>
    </row>
    <row r="699" ht="12.75" customHeight="1">
      <c r="G699" s="5"/>
    </row>
    <row r="700" ht="12.75" customHeight="1">
      <c r="G700" s="5"/>
    </row>
    <row r="701" ht="12.75" customHeight="1">
      <c r="G701" s="5"/>
    </row>
    <row r="702" ht="12.75" customHeight="1">
      <c r="G702" s="5"/>
    </row>
    <row r="703" ht="12.75" customHeight="1">
      <c r="G703" s="5"/>
    </row>
    <row r="704" ht="12.75" customHeight="1">
      <c r="G704" s="5"/>
    </row>
    <row r="705" ht="12.75" customHeight="1">
      <c r="G705" s="5"/>
    </row>
    <row r="706" ht="12.75" customHeight="1">
      <c r="G706" s="5"/>
    </row>
    <row r="707" ht="12.75" customHeight="1">
      <c r="G707" s="5"/>
    </row>
    <row r="708" ht="12.75" customHeight="1">
      <c r="G708" s="5"/>
    </row>
    <row r="709" ht="12.75" customHeight="1">
      <c r="G709" s="5"/>
    </row>
    <row r="710" ht="12.75" customHeight="1">
      <c r="G710" s="5"/>
    </row>
    <row r="711" ht="12.75" customHeight="1">
      <c r="G711" s="5"/>
    </row>
    <row r="712" ht="12.75" customHeight="1">
      <c r="G712" s="5"/>
    </row>
    <row r="713" ht="12.75" customHeight="1">
      <c r="G713" s="5"/>
    </row>
    <row r="714" ht="12.75" customHeight="1">
      <c r="G714" s="5"/>
    </row>
    <row r="715" ht="12.75" customHeight="1">
      <c r="G715" s="5"/>
    </row>
    <row r="716" ht="12.75" customHeight="1">
      <c r="G716" s="5"/>
    </row>
    <row r="717" ht="12.75" customHeight="1">
      <c r="G717" s="5"/>
    </row>
    <row r="718" ht="12.75" customHeight="1">
      <c r="G718" s="5"/>
    </row>
    <row r="719" ht="12.75" customHeight="1">
      <c r="G719" s="5"/>
    </row>
    <row r="720" ht="12.75" customHeight="1">
      <c r="G720" s="5"/>
    </row>
    <row r="721" ht="12.75" customHeight="1">
      <c r="G721" s="5"/>
    </row>
    <row r="722" ht="12.75" customHeight="1">
      <c r="G722" s="5"/>
    </row>
    <row r="723" ht="12.75" customHeight="1">
      <c r="G723" s="5"/>
    </row>
    <row r="724" ht="12.75" customHeight="1">
      <c r="G724" s="5"/>
    </row>
    <row r="725" ht="12.75" customHeight="1">
      <c r="G725" s="5"/>
    </row>
    <row r="726" ht="12.75" customHeight="1">
      <c r="G726" s="5"/>
    </row>
    <row r="727" ht="12.75" customHeight="1">
      <c r="G727" s="5"/>
    </row>
    <row r="728" ht="12.75" customHeight="1">
      <c r="G728" s="5"/>
    </row>
    <row r="729" ht="12.75" customHeight="1">
      <c r="G729" s="5"/>
    </row>
    <row r="730" ht="12.75" customHeight="1">
      <c r="G730" s="5"/>
    </row>
    <row r="731" ht="12.75" customHeight="1">
      <c r="G731" s="5"/>
    </row>
    <row r="732" ht="12.75" customHeight="1">
      <c r="G732" s="5"/>
    </row>
    <row r="733" ht="12.75" customHeight="1">
      <c r="G733" s="5"/>
    </row>
    <row r="734" ht="12.75" customHeight="1">
      <c r="G734" s="5"/>
    </row>
    <row r="735" ht="12.75" customHeight="1">
      <c r="G735" s="5"/>
    </row>
    <row r="736" ht="12.75" customHeight="1">
      <c r="G736" s="5"/>
    </row>
    <row r="737" ht="12.75" customHeight="1">
      <c r="G737" s="5"/>
    </row>
    <row r="738" ht="12.75" customHeight="1">
      <c r="G738" s="5"/>
    </row>
    <row r="739" ht="12.75" customHeight="1">
      <c r="G739" s="5"/>
    </row>
    <row r="740" ht="12.75" customHeight="1">
      <c r="G740" s="5"/>
    </row>
    <row r="741" ht="12.75" customHeight="1">
      <c r="G741" s="5"/>
    </row>
    <row r="742" ht="12.75" customHeight="1">
      <c r="G742" s="5"/>
    </row>
    <row r="743" ht="12.75" customHeight="1">
      <c r="G743" s="5"/>
    </row>
    <row r="744" ht="12.75" customHeight="1">
      <c r="G744" s="5"/>
    </row>
    <row r="745" ht="12.75" customHeight="1">
      <c r="G745" s="5"/>
    </row>
    <row r="746" ht="12.75" customHeight="1">
      <c r="G746" s="5"/>
    </row>
    <row r="747" ht="12.75" customHeight="1">
      <c r="G747" s="5"/>
    </row>
    <row r="748" ht="12.75" customHeight="1">
      <c r="G748" s="5"/>
    </row>
    <row r="749" ht="12.75" customHeight="1">
      <c r="G749" s="5"/>
    </row>
    <row r="750" ht="12.75" customHeight="1">
      <c r="G750" s="5"/>
    </row>
    <row r="751" ht="12.75" customHeight="1">
      <c r="G751" s="5"/>
    </row>
    <row r="752" ht="12.75" customHeight="1">
      <c r="G752" s="5"/>
    </row>
    <row r="753" ht="12.75" customHeight="1">
      <c r="G753" s="5"/>
    </row>
    <row r="754" ht="12.75" customHeight="1">
      <c r="G754" s="5"/>
    </row>
    <row r="755" ht="12.75" customHeight="1">
      <c r="G755" s="5"/>
    </row>
    <row r="756" ht="12.75" customHeight="1">
      <c r="G756" s="5"/>
    </row>
    <row r="757" ht="12.75" customHeight="1">
      <c r="G757" s="5"/>
    </row>
    <row r="758" ht="12.75" customHeight="1">
      <c r="G758" s="5"/>
    </row>
    <row r="759" ht="12.75" customHeight="1">
      <c r="G759" s="5"/>
    </row>
    <row r="760" ht="12.75" customHeight="1">
      <c r="G760" s="5"/>
    </row>
    <row r="761" ht="12.75" customHeight="1">
      <c r="G761" s="5"/>
    </row>
    <row r="762" ht="12.75" customHeight="1">
      <c r="G762" s="5"/>
    </row>
    <row r="763" ht="12.75" customHeight="1">
      <c r="G763" s="5"/>
    </row>
    <row r="764" ht="12.75" customHeight="1">
      <c r="G764" s="5"/>
    </row>
    <row r="765" ht="12.75" customHeight="1">
      <c r="G765" s="5"/>
    </row>
    <row r="766" ht="12.75" customHeight="1">
      <c r="G766" s="5"/>
    </row>
    <row r="767" ht="12.75" customHeight="1">
      <c r="G767" s="5"/>
    </row>
    <row r="768" ht="12.75" customHeight="1">
      <c r="G768" s="5"/>
    </row>
    <row r="769" ht="12.75" customHeight="1">
      <c r="G769" s="5"/>
    </row>
    <row r="770" ht="12.75" customHeight="1">
      <c r="G770" s="5"/>
    </row>
    <row r="771" ht="12.75" customHeight="1">
      <c r="G771" s="5"/>
    </row>
    <row r="772" ht="12.75" customHeight="1">
      <c r="G772" s="5"/>
    </row>
    <row r="773" ht="12.75" customHeight="1">
      <c r="G773" s="5"/>
    </row>
    <row r="774" ht="12.75" customHeight="1">
      <c r="G774" s="5"/>
    </row>
    <row r="775" ht="12.75" customHeight="1">
      <c r="G775" s="5"/>
    </row>
    <row r="776" ht="12.75" customHeight="1">
      <c r="G776" s="5"/>
    </row>
    <row r="777" ht="12.75" customHeight="1">
      <c r="G777" s="5"/>
    </row>
    <row r="778" ht="12.75" customHeight="1">
      <c r="G778" s="5"/>
    </row>
    <row r="779" ht="12.75" customHeight="1">
      <c r="G779" s="5"/>
    </row>
    <row r="780" ht="12.75" customHeight="1">
      <c r="G780" s="5"/>
    </row>
    <row r="781" ht="12.75" customHeight="1">
      <c r="G781" s="5"/>
    </row>
    <row r="782" ht="12.75" customHeight="1">
      <c r="G782" s="5"/>
    </row>
    <row r="783" ht="12.75" customHeight="1">
      <c r="G783" s="5"/>
    </row>
    <row r="784" ht="12.75" customHeight="1">
      <c r="G784" s="5"/>
    </row>
    <row r="785" ht="12.75" customHeight="1">
      <c r="G785" s="5"/>
    </row>
    <row r="786" ht="12.75" customHeight="1">
      <c r="G786" s="5"/>
    </row>
    <row r="787" ht="12.75" customHeight="1">
      <c r="G787" s="5"/>
    </row>
    <row r="788" ht="12.75" customHeight="1">
      <c r="G788" s="5"/>
    </row>
    <row r="789" ht="12.75" customHeight="1">
      <c r="G789" s="5"/>
    </row>
    <row r="790" ht="12.75" customHeight="1">
      <c r="G790" s="5"/>
    </row>
    <row r="791" ht="12.75" customHeight="1">
      <c r="G791" s="5"/>
    </row>
    <row r="792" ht="12.75" customHeight="1">
      <c r="G792" s="5"/>
    </row>
    <row r="793" ht="12.75" customHeight="1">
      <c r="G793" s="5"/>
    </row>
    <row r="794" ht="12.75" customHeight="1">
      <c r="G794" s="5"/>
    </row>
    <row r="795" ht="12.75" customHeight="1">
      <c r="G795" s="5"/>
    </row>
    <row r="796" ht="12.75" customHeight="1">
      <c r="G796" s="5"/>
    </row>
    <row r="797" ht="12.75" customHeight="1">
      <c r="G797" s="5"/>
    </row>
    <row r="798" ht="12.75" customHeight="1">
      <c r="G798" s="5"/>
    </row>
    <row r="799" ht="12.75" customHeight="1">
      <c r="G799" s="5"/>
    </row>
    <row r="800" ht="12.75" customHeight="1">
      <c r="G800" s="5"/>
    </row>
    <row r="801" ht="12.75" customHeight="1">
      <c r="G801" s="5"/>
    </row>
    <row r="802" ht="12.75" customHeight="1">
      <c r="G802" s="5"/>
    </row>
    <row r="803" ht="12.75" customHeight="1">
      <c r="G803" s="5"/>
    </row>
    <row r="804" ht="12.75" customHeight="1">
      <c r="G804" s="5"/>
    </row>
    <row r="805" ht="12.75" customHeight="1">
      <c r="G805" s="5"/>
    </row>
    <row r="806" ht="12.75" customHeight="1">
      <c r="G806" s="5"/>
    </row>
    <row r="807" ht="12.75" customHeight="1">
      <c r="G807" s="5"/>
    </row>
    <row r="808" ht="12.75" customHeight="1">
      <c r="G808" s="5"/>
    </row>
    <row r="809" ht="12.75" customHeight="1">
      <c r="G809" s="5"/>
    </row>
    <row r="810" ht="12.75" customHeight="1">
      <c r="G810" s="5"/>
    </row>
    <row r="811" ht="12.75" customHeight="1">
      <c r="G811" s="5"/>
    </row>
    <row r="812" ht="12.75" customHeight="1">
      <c r="G812" s="5"/>
    </row>
    <row r="813" ht="12.75" customHeight="1">
      <c r="G813" s="5"/>
    </row>
    <row r="814" ht="12.75" customHeight="1">
      <c r="G814" s="5"/>
    </row>
    <row r="815" ht="12.75" customHeight="1">
      <c r="G815" s="5"/>
    </row>
    <row r="816" ht="12.75" customHeight="1">
      <c r="G816" s="5"/>
    </row>
    <row r="817" ht="12.75" customHeight="1">
      <c r="G817" s="5"/>
    </row>
    <row r="818" ht="12.75" customHeight="1">
      <c r="G818" s="5"/>
    </row>
    <row r="819" ht="12.75" customHeight="1">
      <c r="G819" s="5"/>
    </row>
    <row r="820" ht="12.75" customHeight="1">
      <c r="G820" s="5"/>
    </row>
    <row r="821" ht="12.75" customHeight="1">
      <c r="G821" s="5"/>
    </row>
    <row r="822" ht="12.75" customHeight="1">
      <c r="G822" s="5"/>
    </row>
    <row r="823" ht="12.75" customHeight="1">
      <c r="G823" s="5"/>
    </row>
    <row r="824" ht="12.75" customHeight="1">
      <c r="G824" s="5"/>
    </row>
    <row r="825" ht="12.75" customHeight="1">
      <c r="G825" s="5"/>
    </row>
    <row r="826" ht="12.75" customHeight="1">
      <c r="G826" s="5"/>
    </row>
    <row r="827" ht="12.75" customHeight="1">
      <c r="G827" s="5"/>
    </row>
    <row r="828" ht="12.75" customHeight="1">
      <c r="G828" s="5"/>
    </row>
    <row r="829" ht="12.75" customHeight="1">
      <c r="G829" s="5"/>
    </row>
    <row r="830" ht="12.75" customHeight="1">
      <c r="G830" s="5"/>
    </row>
    <row r="831" ht="12.75" customHeight="1">
      <c r="G831" s="5"/>
    </row>
    <row r="832" ht="12.75" customHeight="1">
      <c r="G832" s="5"/>
    </row>
    <row r="833" ht="12.75" customHeight="1">
      <c r="G833" s="5"/>
    </row>
    <row r="834" ht="12.75" customHeight="1">
      <c r="G834" s="5"/>
    </row>
    <row r="835" ht="12.75" customHeight="1">
      <c r="G835" s="5"/>
    </row>
    <row r="836" ht="12.75" customHeight="1">
      <c r="G836" s="5"/>
    </row>
    <row r="837" ht="12.75" customHeight="1">
      <c r="G837" s="5"/>
    </row>
    <row r="838" ht="12.75" customHeight="1">
      <c r="G838" s="5"/>
    </row>
    <row r="839" ht="12.75" customHeight="1">
      <c r="G839" s="5"/>
    </row>
    <row r="840" ht="12.75" customHeight="1">
      <c r="G840" s="5"/>
    </row>
    <row r="841" ht="12.75" customHeight="1">
      <c r="G841" s="5"/>
    </row>
    <row r="842" ht="12.75" customHeight="1">
      <c r="G842" s="5"/>
    </row>
    <row r="843" ht="12.75" customHeight="1">
      <c r="G843" s="5"/>
    </row>
    <row r="844" ht="12.75" customHeight="1">
      <c r="G844" s="5"/>
    </row>
    <row r="845" ht="12.75" customHeight="1">
      <c r="G845" s="5"/>
    </row>
    <row r="846" ht="12.75" customHeight="1">
      <c r="G846" s="5"/>
    </row>
    <row r="847" ht="12.75" customHeight="1">
      <c r="G847" s="5"/>
    </row>
    <row r="848" ht="12.75" customHeight="1">
      <c r="G848" s="5"/>
    </row>
    <row r="849" ht="12.75" customHeight="1">
      <c r="G849" s="5"/>
    </row>
    <row r="850" ht="12.75" customHeight="1">
      <c r="G850" s="5"/>
    </row>
    <row r="851" ht="12.75" customHeight="1">
      <c r="G851" s="5"/>
    </row>
    <row r="852" ht="12.75" customHeight="1">
      <c r="G852" s="5"/>
    </row>
    <row r="853" ht="12.75" customHeight="1">
      <c r="G853" s="5"/>
    </row>
    <row r="854" ht="12.75" customHeight="1">
      <c r="G854" s="5"/>
    </row>
    <row r="855" ht="12.75" customHeight="1">
      <c r="G855" s="5"/>
    </row>
    <row r="856" ht="12.75" customHeight="1">
      <c r="G856" s="5"/>
    </row>
    <row r="857" ht="12.75" customHeight="1">
      <c r="G857" s="5"/>
    </row>
    <row r="858" ht="12.75" customHeight="1">
      <c r="G858" s="5"/>
    </row>
    <row r="859" ht="12.75" customHeight="1">
      <c r="G859" s="5"/>
    </row>
    <row r="860" ht="12.75" customHeight="1">
      <c r="G860" s="5"/>
    </row>
    <row r="861" ht="12.75" customHeight="1">
      <c r="G861" s="5"/>
    </row>
    <row r="862" ht="12.75" customHeight="1">
      <c r="G862" s="5"/>
    </row>
    <row r="863" ht="12.75" customHeight="1">
      <c r="G863" s="5"/>
    </row>
    <row r="864" ht="12.75" customHeight="1">
      <c r="G864" s="5"/>
    </row>
    <row r="865" ht="12.75" customHeight="1">
      <c r="G865" s="5"/>
    </row>
    <row r="866" ht="12.75" customHeight="1">
      <c r="G866" s="5"/>
    </row>
    <row r="867" ht="12.75" customHeight="1">
      <c r="G867" s="5"/>
    </row>
    <row r="868" ht="12.75" customHeight="1">
      <c r="G868" s="5"/>
    </row>
    <row r="869" ht="12.75" customHeight="1">
      <c r="G869" s="5"/>
    </row>
    <row r="870" ht="12.75" customHeight="1">
      <c r="G870" s="5"/>
    </row>
    <row r="871" ht="12.75" customHeight="1">
      <c r="G871" s="5"/>
    </row>
    <row r="872" ht="12.75" customHeight="1">
      <c r="G872" s="5"/>
    </row>
    <row r="873" ht="12.75" customHeight="1">
      <c r="G873" s="5"/>
    </row>
    <row r="874" ht="12.75" customHeight="1">
      <c r="G874" s="5"/>
    </row>
    <row r="875" ht="12.75" customHeight="1">
      <c r="G875" s="5"/>
    </row>
    <row r="876" ht="12.75" customHeight="1">
      <c r="G876" s="5"/>
    </row>
    <row r="877" ht="12.75" customHeight="1">
      <c r="G877" s="5"/>
    </row>
    <row r="878" ht="12.75" customHeight="1">
      <c r="G878" s="5"/>
    </row>
    <row r="879" ht="12.75" customHeight="1">
      <c r="G879" s="5"/>
    </row>
    <row r="880" ht="12.75" customHeight="1">
      <c r="G880" s="5"/>
    </row>
    <row r="881" ht="12.75" customHeight="1">
      <c r="G881" s="5"/>
    </row>
    <row r="882" ht="12.75" customHeight="1">
      <c r="G882" s="5"/>
    </row>
    <row r="883" ht="12.75" customHeight="1">
      <c r="G883" s="5"/>
    </row>
    <row r="884" ht="12.75" customHeight="1">
      <c r="G884" s="5"/>
    </row>
    <row r="885" ht="12.75" customHeight="1">
      <c r="G885" s="5"/>
    </row>
    <row r="886" ht="12.75" customHeight="1">
      <c r="G886" s="5"/>
    </row>
    <row r="887" ht="12.75" customHeight="1">
      <c r="G887" s="5"/>
    </row>
    <row r="888" ht="12.75" customHeight="1">
      <c r="G888" s="5"/>
    </row>
    <row r="889" ht="12.75" customHeight="1">
      <c r="G889" s="5"/>
    </row>
    <row r="890" ht="12.75" customHeight="1">
      <c r="G890" s="5"/>
    </row>
    <row r="891" ht="12.75" customHeight="1">
      <c r="G891" s="5"/>
    </row>
    <row r="892" ht="12.75" customHeight="1">
      <c r="G892" s="5"/>
    </row>
    <row r="893" ht="12.75" customHeight="1">
      <c r="G893" s="5"/>
    </row>
    <row r="894" ht="12.75" customHeight="1">
      <c r="G894" s="5"/>
    </row>
    <row r="895" ht="12.75" customHeight="1">
      <c r="G895" s="5"/>
    </row>
    <row r="896" ht="12.75" customHeight="1">
      <c r="G896" s="5"/>
    </row>
    <row r="897" ht="12.75" customHeight="1">
      <c r="G897" s="5"/>
    </row>
    <row r="898" ht="12.75" customHeight="1">
      <c r="G898" s="5"/>
    </row>
    <row r="899" ht="12.75" customHeight="1">
      <c r="G899" s="5"/>
    </row>
    <row r="900" ht="12.75" customHeight="1">
      <c r="G900" s="5"/>
    </row>
    <row r="901" ht="12.75" customHeight="1">
      <c r="G901" s="5"/>
    </row>
    <row r="902" ht="12.75" customHeight="1">
      <c r="G902" s="5"/>
    </row>
    <row r="903" ht="12.75" customHeight="1">
      <c r="G903" s="5"/>
    </row>
    <row r="904" ht="12.75" customHeight="1">
      <c r="G904" s="5"/>
    </row>
    <row r="905" ht="12.75" customHeight="1">
      <c r="G905" s="5"/>
    </row>
    <row r="906" ht="12.75" customHeight="1">
      <c r="G906" s="5"/>
    </row>
    <row r="907" ht="12.75" customHeight="1">
      <c r="G907" s="5"/>
    </row>
    <row r="908" ht="12.75" customHeight="1">
      <c r="G908" s="5"/>
    </row>
    <row r="909" ht="12.75" customHeight="1">
      <c r="G909" s="5"/>
    </row>
    <row r="910" ht="12.75" customHeight="1">
      <c r="G910" s="5"/>
    </row>
    <row r="911" ht="12.75" customHeight="1">
      <c r="G911" s="5"/>
    </row>
    <row r="912" ht="12.75" customHeight="1">
      <c r="G912" s="5"/>
    </row>
    <row r="913" ht="12.75" customHeight="1">
      <c r="G913" s="5"/>
    </row>
    <row r="914" ht="12.75" customHeight="1">
      <c r="G914" s="5"/>
    </row>
    <row r="915" ht="12.75" customHeight="1">
      <c r="G915" s="5"/>
    </row>
    <row r="916" ht="12.75" customHeight="1">
      <c r="G916" s="5"/>
    </row>
    <row r="917" ht="12.75" customHeight="1">
      <c r="G917" s="5"/>
    </row>
    <row r="918" ht="12.75" customHeight="1">
      <c r="G918" s="5"/>
    </row>
    <row r="919" ht="12.75" customHeight="1">
      <c r="G919" s="5"/>
    </row>
    <row r="920" ht="12.75" customHeight="1">
      <c r="G920" s="5"/>
    </row>
    <row r="921" ht="12.75" customHeight="1">
      <c r="G921" s="5"/>
    </row>
    <row r="922" ht="12.75" customHeight="1">
      <c r="G922" s="5"/>
    </row>
    <row r="923" ht="12.75" customHeight="1">
      <c r="G923" s="5"/>
    </row>
    <row r="924" ht="12.75" customHeight="1">
      <c r="G924" s="5"/>
    </row>
    <row r="925" ht="12.75" customHeight="1">
      <c r="G925" s="5"/>
    </row>
    <row r="926" ht="12.75" customHeight="1">
      <c r="G926" s="5"/>
    </row>
    <row r="927" ht="12.75" customHeight="1">
      <c r="G927" s="5"/>
    </row>
    <row r="928" ht="12.75" customHeight="1">
      <c r="G928" s="5"/>
    </row>
    <row r="929" ht="12.75" customHeight="1">
      <c r="G929" s="5"/>
    </row>
    <row r="930" ht="12.75" customHeight="1">
      <c r="G930" s="5"/>
    </row>
    <row r="931" ht="12.75" customHeight="1">
      <c r="G931" s="5"/>
    </row>
    <row r="932" ht="12.75" customHeight="1">
      <c r="G932" s="5"/>
    </row>
    <row r="933" ht="12.75" customHeight="1">
      <c r="G933" s="5"/>
    </row>
    <row r="934" ht="12.75" customHeight="1">
      <c r="G934" s="5"/>
    </row>
    <row r="935" ht="12.75" customHeight="1">
      <c r="G935" s="5"/>
    </row>
    <row r="936" ht="12.75" customHeight="1">
      <c r="G936" s="5"/>
    </row>
    <row r="937" ht="12.75" customHeight="1">
      <c r="G937" s="5"/>
    </row>
    <row r="938" ht="12.75" customHeight="1">
      <c r="G938" s="5"/>
    </row>
    <row r="939" ht="12.75" customHeight="1">
      <c r="G939" s="5"/>
    </row>
    <row r="940" ht="12.75" customHeight="1">
      <c r="G940" s="5"/>
    </row>
    <row r="941" ht="12.75" customHeight="1">
      <c r="G941" s="5"/>
    </row>
    <row r="942" ht="12.75" customHeight="1">
      <c r="G942" s="5"/>
    </row>
    <row r="943" ht="12.75" customHeight="1">
      <c r="G943" s="5"/>
    </row>
    <row r="944" ht="12.75" customHeight="1">
      <c r="G944" s="5"/>
    </row>
    <row r="945" ht="12.75" customHeight="1">
      <c r="G945" s="5"/>
    </row>
    <row r="946" ht="12.75" customHeight="1">
      <c r="G946" s="5"/>
    </row>
    <row r="947" ht="12.75" customHeight="1">
      <c r="G947" s="5"/>
    </row>
    <row r="948" ht="12.75" customHeight="1">
      <c r="G948" s="5"/>
    </row>
    <row r="949" ht="12.75" customHeight="1">
      <c r="G949" s="5"/>
    </row>
    <row r="950" ht="12.75" customHeight="1">
      <c r="G950" s="5"/>
    </row>
    <row r="951" ht="12.75" customHeight="1">
      <c r="G951" s="5"/>
    </row>
    <row r="952" ht="12.75" customHeight="1">
      <c r="G952" s="5"/>
    </row>
    <row r="953" ht="12.75" customHeight="1">
      <c r="G953" s="5"/>
    </row>
    <row r="954" ht="12.75" customHeight="1">
      <c r="G954" s="5"/>
    </row>
    <row r="955" ht="12.75" customHeight="1">
      <c r="G955" s="5"/>
    </row>
    <row r="956" ht="12.75" customHeight="1">
      <c r="G956" s="5"/>
    </row>
    <row r="957" ht="12.75" customHeight="1">
      <c r="G957" s="5"/>
    </row>
    <row r="958" ht="12.75" customHeight="1">
      <c r="G958" s="5"/>
    </row>
    <row r="959" ht="12.75" customHeight="1">
      <c r="G959" s="5"/>
    </row>
    <row r="960" ht="12.75" customHeight="1">
      <c r="G960" s="5"/>
    </row>
    <row r="961" ht="12.75" customHeight="1">
      <c r="G961" s="5"/>
    </row>
    <row r="962" ht="12.75" customHeight="1">
      <c r="G962" s="5"/>
    </row>
    <row r="963" ht="12.75" customHeight="1">
      <c r="G963" s="5"/>
    </row>
    <row r="964" ht="12.75" customHeight="1">
      <c r="G964" s="5"/>
    </row>
    <row r="965" ht="12.75" customHeight="1">
      <c r="G965" s="5"/>
    </row>
    <row r="966" ht="12.75" customHeight="1">
      <c r="G966" s="5"/>
    </row>
    <row r="967" ht="12.75" customHeight="1">
      <c r="G967" s="5"/>
    </row>
    <row r="968" ht="12.75" customHeight="1">
      <c r="G968" s="5"/>
    </row>
    <row r="969" ht="12.75" customHeight="1">
      <c r="G969" s="5"/>
    </row>
    <row r="970" ht="12.75" customHeight="1">
      <c r="G970" s="5"/>
    </row>
    <row r="971" ht="12.75" customHeight="1">
      <c r="G971" s="5"/>
    </row>
    <row r="972" ht="12.75" customHeight="1">
      <c r="G972" s="5"/>
    </row>
    <row r="973" ht="12.75" customHeight="1">
      <c r="G973" s="5"/>
    </row>
    <row r="974" ht="12.75" customHeight="1">
      <c r="G974" s="5"/>
    </row>
    <row r="975" ht="12.75" customHeight="1">
      <c r="G975" s="5"/>
    </row>
    <row r="976" ht="12.75" customHeight="1">
      <c r="G976" s="5"/>
    </row>
    <row r="977" ht="12.75" customHeight="1">
      <c r="G977" s="5"/>
    </row>
    <row r="978" ht="12.75" customHeight="1">
      <c r="G978" s="5"/>
    </row>
    <row r="979" ht="12.75" customHeight="1">
      <c r="G979" s="5"/>
    </row>
    <row r="980" ht="12.75" customHeight="1">
      <c r="G980" s="5"/>
    </row>
    <row r="981" ht="12.75" customHeight="1">
      <c r="G981" s="5"/>
    </row>
    <row r="982" ht="12.75" customHeight="1">
      <c r="G982" s="5"/>
    </row>
    <row r="983" ht="12.75" customHeight="1">
      <c r="G983" s="5"/>
    </row>
    <row r="984" ht="12.75" customHeight="1">
      <c r="G984" s="5"/>
    </row>
    <row r="985" ht="12.75" customHeight="1">
      <c r="G985" s="5"/>
    </row>
    <row r="986" ht="12.75" customHeight="1">
      <c r="G986" s="5"/>
    </row>
    <row r="987" ht="12.75" customHeight="1">
      <c r="G987" s="5"/>
    </row>
    <row r="988" ht="12.75" customHeight="1">
      <c r="G988" s="5"/>
    </row>
    <row r="989" ht="12.75" customHeight="1">
      <c r="G989" s="5"/>
    </row>
    <row r="990" ht="12.75" customHeight="1">
      <c r="G990" s="5"/>
    </row>
    <row r="991" ht="12.75" customHeight="1">
      <c r="G991" s="5"/>
    </row>
    <row r="992" ht="12.75" customHeight="1">
      <c r="G992" s="5"/>
    </row>
    <row r="993" ht="12.75" customHeight="1">
      <c r="G993" s="5"/>
    </row>
    <row r="994" ht="12.75" customHeight="1">
      <c r="G994" s="5"/>
    </row>
    <row r="995" ht="12.75" customHeight="1">
      <c r="G995" s="5"/>
    </row>
    <row r="996" ht="12.75" customHeight="1">
      <c r="G996" s="5"/>
    </row>
    <row r="997" ht="12.75" customHeight="1">
      <c r="G997" s="5"/>
    </row>
    <row r="998" ht="12.75" customHeight="1">
      <c r="G998" s="5"/>
    </row>
    <row r="999" ht="12.75" customHeight="1">
      <c r="G999" s="5"/>
    </row>
    <row r="1000" ht="12.75" customHeight="1">
      <c r="G1000" s="5"/>
    </row>
  </sheetData>
  <mergeCells count="23">
    <mergeCell ref="A1:K1"/>
    <mergeCell ref="A3:K3"/>
    <mergeCell ref="B4:H4"/>
    <mergeCell ref="B5:H5"/>
    <mergeCell ref="B6:H6"/>
    <mergeCell ref="B7:H7"/>
    <mergeCell ref="B8:H8"/>
    <mergeCell ref="B9:H9"/>
    <mergeCell ref="B10:H10"/>
    <mergeCell ref="B11:H11"/>
    <mergeCell ref="B12:H12"/>
    <mergeCell ref="I13:J13"/>
    <mergeCell ref="A16:K16"/>
    <mergeCell ref="B17:J17"/>
    <mergeCell ref="B25:J25"/>
    <mergeCell ref="B26:J26"/>
    <mergeCell ref="B18:J18"/>
    <mergeCell ref="B19:J19"/>
    <mergeCell ref="B20:J20"/>
    <mergeCell ref="B21:J21"/>
    <mergeCell ref="B22:J22"/>
    <mergeCell ref="B23:J23"/>
    <mergeCell ref="B24:J24"/>
  </mergeCells>
  <hyperlinks>
    <hyperlink r:id="rId1" ref="G78"/>
    <hyperlink r:id="rId2" ref="G102"/>
    <hyperlink r:id="rId3" ref="G104"/>
    <hyperlink r:id="rId4" ref="G115"/>
    <hyperlink r:id="rId5" ref="H117"/>
    <hyperlink r:id="rId6" ref="G124"/>
  </hyperlinks>
  <printOptions/>
  <pageMargins bottom="0.59" footer="0.0" header="0.0" left="0.39000000000000007" right="0.39000000000000007" top="0.87"/>
  <pageSetup paperSize="9" orientation="landscape"/>
  <headerFooter>
    <oddHeader>&amp;L000000 Official (Closed) and Non-Sensitive#_x000D_</oddHeader>
    <oddFooter>&amp;LSheet: &amp;A File: &amp;F&amp;CVersion:  Date: &amp;R&amp;P of </oddFooter>
  </headerFooter>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28.63"/>
    <col customWidth="1" min="3" max="3" width="7.13"/>
    <col customWidth="1" min="4" max="4" width="69.38"/>
    <col customWidth="1" min="5" max="26" width="8.88"/>
  </cols>
  <sheetData>
    <row r="1" ht="12.75" customHeight="1">
      <c r="A1" s="48" t="s">
        <v>371</v>
      </c>
      <c r="B1" s="48" t="s">
        <v>372</v>
      </c>
      <c r="C1" s="48" t="b">
        <v>1</v>
      </c>
      <c r="D1" s="48" t="s">
        <v>48</v>
      </c>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59" footer="0.0" header="0.0" left="0.39000000000000007" right="0.39000000000000007" top="0.87"/>
  <pageSetup paperSize="9" orientation="landscape"/>
  <headerFooter>
    <oddHeader>&amp;L000000 Official (Closed) and Non-Sensitive#_x000D_</oddHeader>
    <oddFooter>&amp;LSheet: &amp;A File: &amp;F&amp;CVersion:  Date: &amp;R&amp;P of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2010-04-27T04:25:00Z</dcterms:created>
  <dc:creator>Adam Walsh</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6409ce-c70d-4644-9357-1651095b1ac1_Enabled">
    <vt:lpwstr>true</vt:lpwstr>
  </property>
  <property fmtid="{D5CDD505-2E9C-101B-9397-08002B2CF9AE}" pid="3" name="MSIP_Label_7e6409ce-c70d-4644-9357-1651095b1ac1_SetDate">
    <vt:lpwstr>2024-09-24T06:22:23Z</vt:lpwstr>
  </property>
  <property fmtid="{D5CDD505-2E9C-101B-9397-08002B2CF9AE}" pid="4" name="MSIP_Label_7e6409ce-c70d-4644-9357-1651095b1ac1_Method">
    <vt:lpwstr>Privileged</vt:lpwstr>
  </property>
  <property fmtid="{D5CDD505-2E9C-101B-9397-08002B2CF9AE}" pid="5" name="MSIP_Label_7e6409ce-c70d-4644-9357-1651095b1ac1_Name">
    <vt:lpwstr>NON SENSITIVE</vt:lpwstr>
  </property>
  <property fmtid="{D5CDD505-2E9C-101B-9397-08002B2CF9AE}" pid="6" name="MSIP_Label_7e6409ce-c70d-4644-9357-1651095b1ac1_SiteId">
    <vt:lpwstr>243ebaed-00d0-4690-a7dc-75893b0d9f98</vt:lpwstr>
  </property>
  <property fmtid="{D5CDD505-2E9C-101B-9397-08002B2CF9AE}" pid="7" name="MSIP_Label_7e6409ce-c70d-4644-9357-1651095b1ac1_ActionId">
    <vt:lpwstr>14fbb4ad-1461-49b4-be9d-3763efb227b7</vt:lpwstr>
  </property>
  <property fmtid="{D5CDD505-2E9C-101B-9397-08002B2CF9AE}" pid="8" name="MSIP_Label_7e6409ce-c70d-4644-9357-1651095b1ac1_ContentBits">
    <vt:lpwstr>1</vt:lpwstr>
  </property>
</Properties>
</file>